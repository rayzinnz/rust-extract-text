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oftware\mega\Rays\work\Excel\DataLoggerPlantWatchPro\"/>
    </mc:Choice>
  </mc:AlternateContent>
  <xr:revisionPtr revIDLastSave="0" documentId="13_ncr:1_{63318085-F4EC-4CFD-882A-0927470E1F68}" xr6:coauthVersionLast="47" xr6:coauthVersionMax="47" xr10:uidLastSave="{00000000-0000-0000-0000-000000000000}"/>
  <bookViews>
    <workbookView xWindow="1575" yWindow="1950" windowWidth="22695" windowHeight="14100" firstSheet="2" activeTab="7" xr2:uid="{00000000-000D-0000-FFFF-FFFF00000000}"/>
  </bookViews>
  <sheets>
    <sheet name="EN1606 (30°C)" sheetId="10" r:id="rId1"/>
    <sheet name="EN1605 (36°C)" sheetId="5" r:id="rId2"/>
    <sheet name="EN1604 (37°C)" sheetId="4" r:id="rId3"/>
    <sheet name="EN1571 (25°C)" sheetId="8" r:id="rId4"/>
    <sheet name="EN1570 (30°C)" sheetId="7" r:id="rId5"/>
    <sheet name="EN1569 (35°C)" sheetId="6" r:id="rId6"/>
    <sheet name="EN1568 (37°C)" sheetId="9" r:id="rId7"/>
    <sheet name="Data" sheetId="1" r:id="rId8"/>
    <sheet name="DataTable" sheetId="11" r:id="rId9"/>
  </sheets>
  <definedNames>
    <definedName name="reportDate">Data!$B$1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0" i="11" l="1"/>
  <c r="C6" i="1"/>
  <c r="D6" i="1"/>
  <c r="F6" i="1"/>
  <c r="G6" i="1"/>
  <c r="I6" i="1"/>
  <c r="J6" i="1"/>
  <c r="L6" i="1"/>
  <c r="M6" i="1"/>
  <c r="O6" i="1"/>
  <c r="P6" i="1"/>
  <c r="R6" i="1"/>
  <c r="S6" i="1"/>
  <c r="U6" i="1"/>
  <c r="V6" i="1"/>
  <c r="C7" i="1"/>
  <c r="D7" i="1"/>
  <c r="F7" i="1"/>
  <c r="G7" i="1"/>
  <c r="I7" i="1"/>
  <c r="J7" i="1"/>
  <c r="L7" i="1"/>
  <c r="M7" i="1"/>
  <c r="O7" i="1"/>
  <c r="P7" i="1"/>
  <c r="R7" i="1"/>
  <c r="S7" i="1"/>
  <c r="U7" i="1"/>
  <c r="V7" i="1"/>
  <c r="C8" i="1"/>
  <c r="D8" i="1"/>
  <c r="F8" i="1"/>
  <c r="G8" i="1"/>
  <c r="I8" i="1"/>
  <c r="J8" i="1"/>
  <c r="L8" i="1"/>
  <c r="M8" i="1"/>
  <c r="O8" i="1"/>
  <c r="P8" i="1"/>
  <c r="R8" i="1"/>
  <c r="S8" i="1"/>
  <c r="U8" i="1"/>
  <c r="V8" i="1"/>
  <c r="C9" i="1"/>
  <c r="D9" i="1"/>
  <c r="F9" i="1"/>
  <c r="G9" i="1"/>
  <c r="I9" i="1"/>
  <c r="J9" i="1"/>
  <c r="L9" i="1"/>
  <c r="M9" i="1"/>
  <c r="O9" i="1"/>
  <c r="P9" i="1"/>
  <c r="R9" i="1"/>
  <c r="S9" i="1"/>
  <c r="U9" i="1"/>
  <c r="V9" i="1"/>
  <c r="C10" i="1"/>
  <c r="D10" i="1"/>
  <c r="F10" i="1"/>
  <c r="G10" i="1"/>
  <c r="I10" i="1"/>
  <c r="J10" i="1"/>
  <c r="L10" i="1"/>
  <c r="M10" i="1"/>
  <c r="O10" i="1"/>
  <c r="P10" i="1"/>
  <c r="R10" i="1"/>
  <c r="S10" i="1"/>
  <c r="U10" i="1"/>
  <c r="V10" i="1"/>
  <c r="C11" i="1"/>
  <c r="D11" i="1"/>
  <c r="F11" i="1"/>
  <c r="G11" i="1"/>
  <c r="I11" i="1"/>
  <c r="J11" i="1"/>
  <c r="L11" i="1"/>
  <c r="M11" i="1"/>
  <c r="O11" i="1"/>
  <c r="P11" i="1"/>
  <c r="R11" i="1"/>
  <c r="S11" i="1"/>
  <c r="U11" i="1"/>
  <c r="V11" i="1"/>
  <c r="C12" i="1"/>
  <c r="D12" i="1"/>
  <c r="F12" i="1"/>
  <c r="G12" i="1"/>
  <c r="I12" i="1"/>
  <c r="J12" i="1"/>
  <c r="L12" i="1"/>
  <c r="M12" i="1"/>
  <c r="O12" i="1"/>
  <c r="P12" i="1"/>
  <c r="R12" i="1"/>
  <c r="S12" i="1"/>
  <c r="U12" i="1"/>
  <c r="V12" i="1"/>
  <c r="C13" i="1"/>
  <c r="D13" i="1"/>
  <c r="F13" i="1"/>
  <c r="G13" i="1"/>
  <c r="I13" i="1"/>
  <c r="J13" i="1"/>
  <c r="L13" i="1"/>
  <c r="M13" i="1"/>
  <c r="O13" i="1"/>
  <c r="P13" i="1"/>
  <c r="R13" i="1"/>
  <c r="S13" i="1"/>
  <c r="U13" i="1"/>
  <c r="V13" i="1"/>
  <c r="C14" i="1"/>
  <c r="D14" i="1"/>
  <c r="F14" i="1"/>
  <c r="G14" i="1"/>
  <c r="I14" i="1"/>
  <c r="J14" i="1"/>
  <c r="L14" i="1"/>
  <c r="M14" i="1"/>
  <c r="O14" i="1"/>
  <c r="P14" i="1"/>
  <c r="R14" i="1"/>
  <c r="S14" i="1"/>
  <c r="U14" i="1"/>
  <c r="V14" i="1"/>
  <c r="C15" i="1"/>
  <c r="D15" i="1"/>
  <c r="F15" i="1"/>
  <c r="G15" i="1"/>
  <c r="I15" i="1"/>
  <c r="J15" i="1"/>
  <c r="L15" i="1"/>
  <c r="M15" i="1"/>
  <c r="O15" i="1"/>
  <c r="P15" i="1"/>
  <c r="R15" i="1"/>
  <c r="S15" i="1"/>
  <c r="U15" i="1"/>
  <c r="V15" i="1"/>
  <c r="C16" i="1"/>
  <c r="D16" i="1"/>
  <c r="F16" i="1"/>
  <c r="G16" i="1"/>
  <c r="I16" i="1"/>
  <c r="J16" i="1"/>
  <c r="L16" i="1"/>
  <c r="M16" i="1"/>
  <c r="O16" i="1"/>
  <c r="P16" i="1"/>
  <c r="R16" i="1"/>
  <c r="S16" i="1"/>
  <c r="U16" i="1"/>
  <c r="V16" i="1"/>
  <c r="C17" i="1"/>
  <c r="D17" i="1"/>
  <c r="F17" i="1"/>
  <c r="G17" i="1"/>
  <c r="I17" i="1"/>
  <c r="J17" i="1"/>
  <c r="L17" i="1"/>
  <c r="M17" i="1"/>
  <c r="O17" i="1"/>
  <c r="P17" i="1"/>
  <c r="R17" i="1"/>
  <c r="S17" i="1"/>
  <c r="U17" i="1"/>
  <c r="V17" i="1"/>
  <c r="C18" i="1"/>
  <c r="D18" i="1"/>
  <c r="F18" i="1"/>
  <c r="G18" i="1"/>
  <c r="I18" i="1"/>
  <c r="J18" i="1"/>
  <c r="L18" i="1"/>
  <c r="M18" i="1"/>
  <c r="O18" i="1"/>
  <c r="P18" i="1"/>
  <c r="R18" i="1"/>
  <c r="S18" i="1"/>
  <c r="U18" i="1"/>
  <c r="V18" i="1"/>
  <c r="C19" i="1"/>
  <c r="D19" i="1"/>
  <c r="F19" i="1"/>
  <c r="G19" i="1"/>
  <c r="I19" i="1"/>
  <c r="J19" i="1"/>
  <c r="L19" i="1"/>
  <c r="M19" i="1"/>
  <c r="O19" i="1"/>
  <c r="P19" i="1"/>
  <c r="R19" i="1"/>
  <c r="S19" i="1"/>
  <c r="U19" i="1"/>
  <c r="V19" i="1"/>
  <c r="C20" i="1"/>
  <c r="D20" i="1"/>
  <c r="F20" i="1"/>
  <c r="G20" i="1"/>
  <c r="I20" i="1"/>
  <c r="J20" i="1"/>
  <c r="L20" i="1"/>
  <c r="M20" i="1"/>
  <c r="O20" i="1"/>
  <c r="P20" i="1"/>
  <c r="R20" i="1"/>
  <c r="S20" i="1"/>
  <c r="U20" i="1"/>
  <c r="V20" i="1"/>
  <c r="C21" i="1"/>
  <c r="D21" i="1"/>
  <c r="F21" i="1"/>
  <c r="G21" i="1"/>
  <c r="I21" i="1"/>
  <c r="J21" i="1"/>
  <c r="L21" i="1"/>
  <c r="M21" i="1"/>
  <c r="O21" i="1"/>
  <c r="P21" i="1"/>
  <c r="R21" i="1"/>
  <c r="S21" i="1"/>
  <c r="U21" i="1"/>
  <c r="V21" i="1"/>
  <c r="C22" i="1"/>
  <c r="D22" i="1"/>
  <c r="F22" i="1"/>
  <c r="G22" i="1"/>
  <c r="I22" i="1"/>
  <c r="J22" i="1"/>
  <c r="L22" i="1"/>
  <c r="M22" i="1"/>
  <c r="O22" i="1"/>
  <c r="P22" i="1"/>
  <c r="R22" i="1"/>
  <c r="S22" i="1"/>
  <c r="U22" i="1"/>
  <c r="V22" i="1"/>
  <c r="C23" i="1"/>
  <c r="D23" i="1"/>
  <c r="F23" i="1"/>
  <c r="G23" i="1"/>
  <c r="I23" i="1"/>
  <c r="J23" i="1"/>
  <c r="L23" i="1"/>
  <c r="M23" i="1"/>
  <c r="O23" i="1"/>
  <c r="P23" i="1"/>
  <c r="R23" i="1"/>
  <c r="S23" i="1"/>
  <c r="U23" i="1"/>
  <c r="V23" i="1"/>
  <c r="C24" i="1"/>
  <c r="D24" i="1"/>
  <c r="F24" i="1"/>
  <c r="G24" i="1"/>
  <c r="I24" i="1"/>
  <c r="J24" i="1"/>
  <c r="L24" i="1"/>
  <c r="M24" i="1"/>
  <c r="O24" i="1"/>
  <c r="P24" i="1"/>
  <c r="R24" i="1"/>
  <c r="S24" i="1"/>
  <c r="U24" i="1"/>
  <c r="V24" i="1"/>
  <c r="C25" i="1"/>
  <c r="D25" i="1"/>
  <c r="F25" i="1"/>
  <c r="G25" i="1"/>
  <c r="I25" i="1"/>
  <c r="J25" i="1"/>
  <c r="L25" i="1"/>
  <c r="M25" i="1"/>
  <c r="O25" i="1"/>
  <c r="P25" i="1"/>
  <c r="R25" i="1"/>
  <c r="S25" i="1"/>
  <c r="U25" i="1"/>
  <c r="V25" i="1"/>
  <c r="C26" i="1"/>
  <c r="D26" i="1"/>
  <c r="F26" i="1"/>
  <c r="G26" i="1"/>
  <c r="I26" i="1"/>
  <c r="J26" i="1"/>
  <c r="L26" i="1"/>
  <c r="M26" i="1"/>
  <c r="O26" i="1"/>
  <c r="P26" i="1"/>
  <c r="R26" i="1"/>
  <c r="S26" i="1"/>
  <c r="U26" i="1"/>
  <c r="V26" i="1"/>
  <c r="C27" i="1"/>
  <c r="D27" i="1"/>
  <c r="F27" i="1"/>
  <c r="G27" i="1"/>
  <c r="I27" i="1"/>
  <c r="J27" i="1"/>
  <c r="L27" i="1"/>
  <c r="M27" i="1"/>
  <c r="O27" i="1"/>
  <c r="P27" i="1"/>
  <c r="R27" i="1"/>
  <c r="S27" i="1"/>
  <c r="U27" i="1"/>
  <c r="V27" i="1"/>
  <c r="C28" i="1"/>
  <c r="D28" i="1"/>
  <c r="F28" i="1"/>
  <c r="G28" i="1"/>
  <c r="I28" i="1"/>
  <c r="J28" i="1"/>
  <c r="L28" i="1"/>
  <c r="M28" i="1"/>
  <c r="O28" i="1"/>
  <c r="P28" i="1"/>
  <c r="R28" i="1"/>
  <c r="S28" i="1"/>
  <c r="U28" i="1"/>
  <c r="V28" i="1"/>
  <c r="C29" i="1"/>
  <c r="D29" i="1"/>
  <c r="F29" i="1"/>
  <c r="G29" i="1"/>
  <c r="I29" i="1"/>
  <c r="J29" i="1"/>
  <c r="L29" i="1"/>
  <c r="M29" i="1"/>
  <c r="O29" i="1"/>
  <c r="P29" i="1"/>
  <c r="R29" i="1"/>
  <c r="S29" i="1"/>
  <c r="U29" i="1"/>
  <c r="V29" i="1"/>
  <c r="C30" i="1"/>
  <c r="D30" i="1"/>
  <c r="F30" i="1"/>
  <c r="G30" i="1"/>
  <c r="I30" i="1"/>
  <c r="J30" i="1"/>
  <c r="L30" i="1"/>
  <c r="M30" i="1"/>
  <c r="O30" i="1"/>
  <c r="P30" i="1"/>
  <c r="R30" i="1"/>
  <c r="S30" i="1"/>
  <c r="U30" i="1"/>
  <c r="V30" i="1"/>
  <c r="C31" i="1"/>
  <c r="D31" i="1"/>
  <c r="F31" i="1"/>
  <c r="G31" i="1"/>
  <c r="I31" i="1"/>
  <c r="J31" i="1"/>
  <c r="L31" i="1"/>
  <c r="M31" i="1"/>
  <c r="O31" i="1"/>
  <c r="P31" i="1"/>
  <c r="R31" i="1"/>
  <c r="S31" i="1"/>
  <c r="U31" i="1"/>
  <c r="V31" i="1"/>
  <c r="C32" i="1"/>
  <c r="D32" i="1"/>
  <c r="F32" i="1"/>
  <c r="G32" i="1"/>
  <c r="I32" i="1"/>
  <c r="J32" i="1"/>
  <c r="L32" i="1"/>
  <c r="M32" i="1"/>
  <c r="O32" i="1"/>
  <c r="P32" i="1"/>
  <c r="R32" i="1"/>
  <c r="S32" i="1"/>
  <c r="U32" i="1"/>
  <c r="V32" i="1"/>
  <c r="C33" i="1"/>
  <c r="D33" i="1"/>
  <c r="F33" i="1"/>
  <c r="G33" i="1"/>
  <c r="I33" i="1"/>
  <c r="J33" i="1"/>
  <c r="L33" i="1"/>
  <c r="M33" i="1"/>
  <c r="O33" i="1"/>
  <c r="P33" i="1"/>
  <c r="R33" i="1"/>
  <c r="S33" i="1"/>
  <c r="U33" i="1"/>
  <c r="V33" i="1"/>
  <c r="C34" i="1"/>
  <c r="D34" i="1"/>
  <c r="F34" i="1"/>
  <c r="G34" i="1"/>
  <c r="I34" i="1"/>
  <c r="J34" i="1"/>
  <c r="L34" i="1"/>
  <c r="M34" i="1"/>
  <c r="O34" i="1"/>
  <c r="P34" i="1"/>
  <c r="R34" i="1"/>
  <c r="S34" i="1"/>
  <c r="U34" i="1"/>
  <c r="V34" i="1"/>
  <c r="C35" i="1"/>
  <c r="D35" i="1"/>
  <c r="F35" i="1"/>
  <c r="G35" i="1"/>
  <c r="I35" i="1"/>
  <c r="J35" i="1"/>
  <c r="L35" i="1"/>
  <c r="M35" i="1"/>
  <c r="O35" i="1"/>
  <c r="P35" i="1"/>
  <c r="R35" i="1"/>
  <c r="S35" i="1"/>
  <c r="U35" i="1"/>
  <c r="V35" i="1"/>
  <c r="C36" i="1"/>
  <c r="D36" i="1"/>
  <c r="F36" i="1"/>
  <c r="G36" i="1"/>
  <c r="I36" i="1"/>
  <c r="J36" i="1"/>
  <c r="L36" i="1"/>
  <c r="M36" i="1"/>
  <c r="O36" i="1"/>
  <c r="P36" i="1"/>
  <c r="R36" i="1"/>
  <c r="S36" i="1"/>
  <c r="U36" i="1"/>
  <c r="V36" i="1"/>
  <c r="C37" i="1"/>
  <c r="D37" i="1"/>
  <c r="F37" i="1"/>
  <c r="G37" i="1"/>
  <c r="I37" i="1"/>
  <c r="J37" i="1"/>
  <c r="L37" i="1"/>
  <c r="M37" i="1"/>
  <c r="O37" i="1"/>
  <c r="P37" i="1"/>
  <c r="R37" i="1"/>
  <c r="S37" i="1"/>
  <c r="U37" i="1"/>
  <c r="V37" i="1"/>
  <c r="C38" i="1"/>
  <c r="D38" i="1"/>
  <c r="F38" i="1"/>
  <c r="G38" i="1"/>
  <c r="I38" i="1"/>
  <c r="J38" i="1"/>
  <c r="L38" i="1"/>
  <c r="M38" i="1"/>
  <c r="O38" i="1"/>
  <c r="P38" i="1"/>
  <c r="R38" i="1"/>
  <c r="S38" i="1"/>
  <c r="U38" i="1"/>
  <c r="V38" i="1"/>
  <c r="C39" i="1"/>
  <c r="D39" i="1"/>
  <c r="F39" i="1"/>
  <c r="G39" i="1"/>
  <c r="I39" i="1"/>
  <c r="J39" i="1"/>
  <c r="L39" i="1"/>
  <c r="M39" i="1"/>
  <c r="O39" i="1"/>
  <c r="P39" i="1"/>
  <c r="R39" i="1"/>
  <c r="S39" i="1"/>
  <c r="U39" i="1"/>
  <c r="V39" i="1"/>
  <c r="C40" i="1"/>
  <c r="D40" i="1"/>
  <c r="F40" i="1"/>
  <c r="G40" i="1"/>
  <c r="I40" i="1"/>
  <c r="J40" i="1"/>
  <c r="L40" i="1"/>
  <c r="M40" i="1"/>
  <c r="O40" i="1"/>
  <c r="P40" i="1"/>
  <c r="R40" i="1"/>
  <c r="S40" i="1"/>
  <c r="U40" i="1"/>
  <c r="V40" i="1"/>
  <c r="C41" i="1"/>
  <c r="D41" i="1"/>
  <c r="F41" i="1"/>
  <c r="G41" i="1"/>
  <c r="I41" i="1"/>
  <c r="J41" i="1"/>
  <c r="L41" i="1"/>
  <c r="M41" i="1"/>
  <c r="O41" i="1"/>
  <c r="P41" i="1"/>
  <c r="R41" i="1"/>
  <c r="S41" i="1"/>
  <c r="U41" i="1"/>
  <c r="V41" i="1"/>
  <c r="C42" i="1"/>
  <c r="D42" i="1"/>
  <c r="F42" i="1"/>
  <c r="G42" i="1"/>
  <c r="I42" i="1"/>
  <c r="J42" i="1"/>
  <c r="L42" i="1"/>
  <c r="M42" i="1"/>
  <c r="O42" i="1"/>
  <c r="P42" i="1"/>
  <c r="R42" i="1"/>
  <c r="S42" i="1"/>
  <c r="U42" i="1"/>
  <c r="V42" i="1"/>
  <c r="C43" i="1"/>
  <c r="D43" i="1"/>
  <c r="F43" i="1"/>
  <c r="G43" i="1"/>
  <c r="I43" i="1"/>
  <c r="J43" i="1"/>
  <c r="L43" i="1"/>
  <c r="M43" i="1"/>
  <c r="O43" i="1"/>
  <c r="P43" i="1"/>
  <c r="R43" i="1"/>
  <c r="S43" i="1"/>
  <c r="U43" i="1"/>
  <c r="V43" i="1"/>
  <c r="C44" i="1"/>
  <c r="D44" i="1"/>
  <c r="F44" i="1"/>
  <c r="G44" i="1"/>
  <c r="I44" i="1"/>
  <c r="J44" i="1"/>
  <c r="L44" i="1"/>
  <c r="M44" i="1"/>
  <c r="O44" i="1"/>
  <c r="P44" i="1"/>
  <c r="R44" i="1"/>
  <c r="S44" i="1"/>
  <c r="U44" i="1"/>
  <c r="V44" i="1"/>
  <c r="C45" i="1"/>
  <c r="D45" i="1"/>
  <c r="F45" i="1"/>
  <c r="G45" i="1"/>
  <c r="I45" i="1"/>
  <c r="J45" i="1"/>
  <c r="L45" i="1"/>
  <c r="M45" i="1"/>
  <c r="O45" i="1"/>
  <c r="P45" i="1"/>
  <c r="R45" i="1"/>
  <c r="S45" i="1"/>
  <c r="U45" i="1"/>
  <c r="V45" i="1"/>
  <c r="C46" i="1"/>
  <c r="D46" i="1"/>
  <c r="F46" i="1"/>
  <c r="G46" i="1"/>
  <c r="I46" i="1"/>
  <c r="J46" i="1"/>
  <c r="L46" i="1"/>
  <c r="M46" i="1"/>
  <c r="O46" i="1"/>
  <c r="P46" i="1"/>
  <c r="R46" i="1"/>
  <c r="S46" i="1"/>
  <c r="U46" i="1"/>
  <c r="V46" i="1"/>
  <c r="C47" i="1"/>
  <c r="D47" i="1"/>
  <c r="F47" i="1"/>
  <c r="G47" i="1"/>
  <c r="I47" i="1"/>
  <c r="J47" i="1"/>
  <c r="L47" i="1"/>
  <c r="M47" i="1"/>
  <c r="O47" i="1"/>
  <c r="P47" i="1"/>
  <c r="R47" i="1"/>
  <c r="S47" i="1"/>
  <c r="U47" i="1"/>
  <c r="V47" i="1"/>
  <c r="C48" i="1"/>
  <c r="D48" i="1"/>
  <c r="F48" i="1"/>
  <c r="G48" i="1"/>
  <c r="I48" i="1"/>
  <c r="J48" i="1"/>
  <c r="L48" i="1"/>
  <c r="M48" i="1"/>
  <c r="O48" i="1"/>
  <c r="P48" i="1"/>
  <c r="R48" i="1"/>
  <c r="S48" i="1"/>
  <c r="U48" i="1"/>
  <c r="V48" i="1"/>
  <c r="C49" i="1"/>
  <c r="D49" i="1"/>
  <c r="F49" i="1"/>
  <c r="G49" i="1"/>
  <c r="I49" i="1"/>
  <c r="J49" i="1"/>
  <c r="L49" i="1"/>
  <c r="M49" i="1"/>
  <c r="O49" i="1"/>
  <c r="P49" i="1"/>
  <c r="R49" i="1"/>
  <c r="S49" i="1"/>
  <c r="U49" i="1"/>
  <c r="V49" i="1"/>
  <c r="C50" i="1"/>
  <c r="D50" i="1"/>
  <c r="F50" i="1"/>
  <c r="G50" i="1"/>
  <c r="I50" i="1"/>
  <c r="J50" i="1"/>
  <c r="L50" i="1"/>
  <c r="M50" i="1"/>
  <c r="O50" i="1"/>
  <c r="P50" i="1"/>
  <c r="R50" i="1"/>
  <c r="S50" i="1"/>
  <c r="U50" i="1"/>
  <c r="V50" i="1"/>
  <c r="C51" i="1"/>
  <c r="D51" i="1"/>
  <c r="F51" i="1"/>
  <c r="G51" i="1"/>
  <c r="I51" i="1"/>
  <c r="J51" i="1"/>
  <c r="L51" i="1"/>
  <c r="M51" i="1"/>
  <c r="O51" i="1"/>
  <c r="P51" i="1"/>
  <c r="R51" i="1"/>
  <c r="S51" i="1"/>
  <c r="U51" i="1"/>
  <c r="V51" i="1"/>
  <c r="C52" i="1"/>
  <c r="D52" i="1"/>
  <c r="F52" i="1"/>
  <c r="G52" i="1"/>
  <c r="I52" i="1"/>
  <c r="J52" i="1"/>
  <c r="L52" i="1"/>
  <c r="M52" i="1"/>
  <c r="O52" i="1"/>
  <c r="P52" i="1"/>
  <c r="R52" i="1"/>
  <c r="S52" i="1"/>
  <c r="U52" i="1"/>
  <c r="V52" i="1"/>
  <c r="C53" i="1"/>
  <c r="D53" i="1"/>
  <c r="F53" i="1"/>
  <c r="G53" i="1"/>
  <c r="I53" i="1"/>
  <c r="J53" i="1"/>
  <c r="L53" i="1"/>
  <c r="M53" i="1"/>
  <c r="O53" i="1"/>
  <c r="P53" i="1"/>
  <c r="R53" i="1"/>
  <c r="S53" i="1"/>
  <c r="U53" i="1"/>
  <c r="V53" i="1"/>
  <c r="C54" i="1"/>
  <c r="D54" i="1"/>
  <c r="F54" i="1"/>
  <c r="G54" i="1"/>
  <c r="I54" i="1"/>
  <c r="J54" i="1"/>
  <c r="L54" i="1"/>
  <c r="M54" i="1"/>
  <c r="O54" i="1"/>
  <c r="P54" i="1"/>
  <c r="R54" i="1"/>
  <c r="S54" i="1"/>
  <c r="U54" i="1"/>
  <c r="V54" i="1"/>
  <c r="C55" i="1"/>
  <c r="D55" i="1"/>
  <c r="F55" i="1"/>
  <c r="G55" i="1"/>
  <c r="I55" i="1"/>
  <c r="J55" i="1"/>
  <c r="L55" i="1"/>
  <c r="M55" i="1"/>
  <c r="O55" i="1"/>
  <c r="P55" i="1"/>
  <c r="R55" i="1"/>
  <c r="S55" i="1"/>
  <c r="U55" i="1"/>
  <c r="V55" i="1"/>
  <c r="C56" i="1"/>
  <c r="D56" i="1"/>
  <c r="F56" i="1"/>
  <c r="G56" i="1"/>
  <c r="I56" i="1"/>
  <c r="J56" i="1"/>
  <c r="L56" i="1"/>
  <c r="M56" i="1"/>
  <c r="O56" i="1"/>
  <c r="P56" i="1"/>
  <c r="R56" i="1"/>
  <c r="S56" i="1"/>
  <c r="U56" i="1"/>
  <c r="V56" i="1"/>
  <c r="C57" i="1"/>
  <c r="D57" i="1"/>
  <c r="F57" i="1"/>
  <c r="G57" i="1"/>
  <c r="I57" i="1"/>
  <c r="J57" i="1"/>
  <c r="L57" i="1"/>
  <c r="M57" i="1"/>
  <c r="O57" i="1"/>
  <c r="P57" i="1"/>
  <c r="R57" i="1"/>
  <c r="S57" i="1"/>
  <c r="U57" i="1"/>
  <c r="V57" i="1"/>
  <c r="C58" i="1"/>
  <c r="D58" i="1"/>
  <c r="F58" i="1"/>
  <c r="G58" i="1"/>
  <c r="I58" i="1"/>
  <c r="J58" i="1"/>
  <c r="L58" i="1"/>
  <c r="M58" i="1"/>
  <c r="O58" i="1"/>
  <c r="P58" i="1"/>
  <c r="R58" i="1"/>
  <c r="S58" i="1"/>
  <c r="U58" i="1"/>
  <c r="V58" i="1"/>
  <c r="C59" i="1"/>
  <c r="D59" i="1"/>
  <c r="F59" i="1"/>
  <c r="G59" i="1"/>
  <c r="I59" i="1"/>
  <c r="J59" i="1"/>
  <c r="L59" i="1"/>
  <c r="M59" i="1"/>
  <c r="O59" i="1"/>
  <c r="P59" i="1"/>
  <c r="R59" i="1"/>
  <c r="S59" i="1"/>
  <c r="U59" i="1"/>
  <c r="V59" i="1"/>
  <c r="C60" i="1"/>
  <c r="D60" i="1"/>
  <c r="F60" i="1"/>
  <c r="G60" i="1"/>
  <c r="I60" i="1"/>
  <c r="J60" i="1"/>
  <c r="L60" i="1"/>
  <c r="M60" i="1"/>
  <c r="O60" i="1"/>
  <c r="P60" i="1"/>
  <c r="R60" i="1"/>
  <c r="S60" i="1"/>
  <c r="U60" i="1"/>
  <c r="V60" i="1"/>
  <c r="C61" i="1"/>
  <c r="D61" i="1"/>
  <c r="F61" i="1"/>
  <c r="G61" i="1"/>
  <c r="I61" i="1"/>
  <c r="J61" i="1"/>
  <c r="L61" i="1"/>
  <c r="M61" i="1"/>
  <c r="O61" i="1"/>
  <c r="P61" i="1"/>
  <c r="R61" i="1"/>
  <c r="S61" i="1"/>
  <c r="U61" i="1"/>
  <c r="V61" i="1"/>
  <c r="C62" i="1"/>
  <c r="D62" i="1"/>
  <c r="F62" i="1"/>
  <c r="G62" i="1"/>
  <c r="I62" i="1"/>
  <c r="J62" i="1"/>
  <c r="L62" i="1"/>
  <c r="M62" i="1"/>
  <c r="O62" i="1"/>
  <c r="P62" i="1"/>
  <c r="R62" i="1"/>
  <c r="S62" i="1"/>
  <c r="U62" i="1"/>
  <c r="V62" i="1"/>
  <c r="C63" i="1"/>
  <c r="D63" i="1"/>
  <c r="F63" i="1"/>
  <c r="G63" i="1"/>
  <c r="I63" i="1"/>
  <c r="J63" i="1"/>
  <c r="L63" i="1"/>
  <c r="M63" i="1"/>
  <c r="O63" i="1"/>
  <c r="P63" i="1"/>
  <c r="R63" i="1"/>
  <c r="S63" i="1"/>
  <c r="U63" i="1"/>
  <c r="V63" i="1"/>
  <c r="C64" i="1"/>
  <c r="D64" i="1"/>
  <c r="F64" i="1"/>
  <c r="G64" i="1"/>
  <c r="I64" i="1"/>
  <c r="J64" i="1"/>
  <c r="L64" i="1"/>
  <c r="M64" i="1"/>
  <c r="O64" i="1"/>
  <c r="P64" i="1"/>
  <c r="R64" i="1"/>
  <c r="S64" i="1"/>
  <c r="U64" i="1"/>
  <c r="V64" i="1"/>
  <c r="C65" i="1"/>
  <c r="D65" i="1"/>
  <c r="F65" i="1"/>
  <c r="G65" i="1"/>
  <c r="I65" i="1"/>
  <c r="J65" i="1"/>
  <c r="L65" i="1"/>
  <c r="M65" i="1"/>
  <c r="O65" i="1"/>
  <c r="P65" i="1"/>
  <c r="R65" i="1"/>
  <c r="S65" i="1"/>
  <c r="U65" i="1"/>
  <c r="V65" i="1"/>
  <c r="C66" i="1"/>
  <c r="D66" i="1"/>
  <c r="F66" i="1"/>
  <c r="G66" i="1"/>
  <c r="I66" i="1"/>
  <c r="J66" i="1"/>
  <c r="L66" i="1"/>
  <c r="M66" i="1"/>
  <c r="O66" i="1"/>
  <c r="P66" i="1"/>
  <c r="R66" i="1"/>
  <c r="S66" i="1"/>
  <c r="U66" i="1"/>
  <c r="V66" i="1"/>
  <c r="C67" i="1"/>
  <c r="D67" i="1"/>
  <c r="F67" i="1"/>
  <c r="G67" i="1"/>
  <c r="I67" i="1"/>
  <c r="J67" i="1"/>
  <c r="L67" i="1"/>
  <c r="M67" i="1"/>
  <c r="O67" i="1"/>
  <c r="P67" i="1"/>
  <c r="R67" i="1"/>
  <c r="S67" i="1"/>
  <c r="U67" i="1"/>
  <c r="V67" i="1"/>
  <c r="C68" i="1"/>
  <c r="D68" i="1"/>
  <c r="F68" i="1"/>
  <c r="G68" i="1"/>
  <c r="I68" i="1"/>
  <c r="J68" i="1"/>
  <c r="L68" i="1"/>
  <c r="M68" i="1"/>
  <c r="O68" i="1"/>
  <c r="P68" i="1"/>
  <c r="R68" i="1"/>
  <c r="S68" i="1"/>
  <c r="U68" i="1"/>
  <c r="V68" i="1"/>
  <c r="C69" i="1"/>
  <c r="D69" i="1"/>
  <c r="F69" i="1"/>
  <c r="G69" i="1"/>
  <c r="I69" i="1"/>
  <c r="J69" i="1"/>
  <c r="L69" i="1"/>
  <c r="M69" i="1"/>
  <c r="O69" i="1"/>
  <c r="P69" i="1"/>
  <c r="R69" i="1"/>
  <c r="S69" i="1"/>
  <c r="U69" i="1"/>
  <c r="V69" i="1"/>
  <c r="C70" i="1"/>
  <c r="D70" i="1"/>
  <c r="F70" i="1"/>
  <c r="G70" i="1"/>
  <c r="I70" i="1"/>
  <c r="J70" i="1"/>
  <c r="L70" i="1"/>
  <c r="M70" i="1"/>
  <c r="O70" i="1"/>
  <c r="P70" i="1"/>
  <c r="R70" i="1"/>
  <c r="S70" i="1"/>
  <c r="U70" i="1"/>
  <c r="V70" i="1"/>
  <c r="C71" i="1"/>
  <c r="D71" i="1"/>
  <c r="F71" i="1"/>
  <c r="G71" i="1"/>
  <c r="I71" i="1"/>
  <c r="J71" i="1"/>
  <c r="L71" i="1"/>
  <c r="M71" i="1"/>
  <c r="O71" i="1"/>
  <c r="P71" i="1"/>
  <c r="R71" i="1"/>
  <c r="S71" i="1"/>
  <c r="U71" i="1"/>
  <c r="V71" i="1"/>
  <c r="C72" i="1"/>
  <c r="D72" i="1"/>
  <c r="F72" i="1"/>
  <c r="G72" i="1"/>
  <c r="I72" i="1"/>
  <c r="J72" i="1"/>
  <c r="L72" i="1"/>
  <c r="M72" i="1"/>
  <c r="O72" i="1"/>
  <c r="P72" i="1"/>
  <c r="R72" i="1"/>
  <c r="S72" i="1"/>
  <c r="U72" i="1"/>
  <c r="V72" i="1"/>
  <c r="C73" i="1"/>
  <c r="D73" i="1"/>
  <c r="F73" i="1"/>
  <c r="G73" i="1"/>
  <c r="I73" i="1"/>
  <c r="J73" i="1"/>
  <c r="L73" i="1"/>
  <c r="M73" i="1"/>
  <c r="O73" i="1"/>
  <c r="P73" i="1"/>
  <c r="R73" i="1"/>
  <c r="S73" i="1"/>
  <c r="U73" i="1"/>
  <c r="V73" i="1"/>
  <c r="C74" i="1"/>
  <c r="D74" i="1"/>
  <c r="F74" i="1"/>
  <c r="G74" i="1"/>
  <c r="I74" i="1"/>
  <c r="J74" i="1"/>
  <c r="L74" i="1"/>
  <c r="M74" i="1"/>
  <c r="O74" i="1"/>
  <c r="P74" i="1"/>
  <c r="R74" i="1"/>
  <c r="S74" i="1"/>
  <c r="U74" i="1"/>
  <c r="V74" i="1"/>
  <c r="C75" i="1"/>
  <c r="D75" i="1"/>
  <c r="F75" i="1"/>
  <c r="G75" i="1"/>
  <c r="I75" i="1"/>
  <c r="J75" i="1"/>
  <c r="L75" i="1"/>
  <c r="M75" i="1"/>
  <c r="O75" i="1"/>
  <c r="P75" i="1"/>
  <c r="R75" i="1"/>
  <c r="S75" i="1"/>
  <c r="U75" i="1"/>
  <c r="V75" i="1"/>
  <c r="C76" i="1"/>
  <c r="D76" i="1"/>
  <c r="F76" i="1"/>
  <c r="G76" i="1"/>
  <c r="I76" i="1"/>
  <c r="J76" i="1"/>
  <c r="L76" i="1"/>
  <c r="M76" i="1"/>
  <c r="O76" i="1"/>
  <c r="P76" i="1"/>
  <c r="R76" i="1"/>
  <c r="S76" i="1"/>
  <c r="U76" i="1"/>
  <c r="V76" i="1"/>
  <c r="C77" i="1"/>
  <c r="D77" i="1"/>
  <c r="F77" i="1"/>
  <c r="G77" i="1"/>
  <c r="I77" i="1"/>
  <c r="J77" i="1"/>
  <c r="L77" i="1"/>
  <c r="M77" i="1"/>
  <c r="O77" i="1"/>
  <c r="P77" i="1"/>
  <c r="R77" i="1"/>
  <c r="S77" i="1"/>
  <c r="U77" i="1"/>
  <c r="V77" i="1"/>
  <c r="C78" i="1"/>
  <c r="D78" i="1"/>
  <c r="F78" i="1"/>
  <c r="G78" i="1"/>
  <c r="I78" i="1"/>
  <c r="J78" i="1"/>
  <c r="L78" i="1"/>
  <c r="M78" i="1"/>
  <c r="O78" i="1"/>
  <c r="P78" i="1"/>
  <c r="R78" i="1"/>
  <c r="S78" i="1"/>
  <c r="U78" i="1"/>
  <c r="V78" i="1"/>
  <c r="C79" i="1"/>
  <c r="D79" i="1"/>
  <c r="F79" i="1"/>
  <c r="G79" i="1"/>
  <c r="I79" i="1"/>
  <c r="J79" i="1"/>
  <c r="L79" i="1"/>
  <c r="M79" i="1"/>
  <c r="O79" i="1"/>
  <c r="P79" i="1"/>
  <c r="R79" i="1"/>
  <c r="S79" i="1"/>
  <c r="U79" i="1"/>
  <c r="V79" i="1"/>
  <c r="C80" i="1"/>
  <c r="D80" i="1"/>
  <c r="F80" i="1"/>
  <c r="G80" i="1"/>
  <c r="I80" i="1"/>
  <c r="J80" i="1"/>
  <c r="L80" i="1"/>
  <c r="M80" i="1"/>
  <c r="O80" i="1"/>
  <c r="P80" i="1"/>
  <c r="R80" i="1"/>
  <c r="S80" i="1"/>
  <c r="U80" i="1"/>
  <c r="V80" i="1"/>
  <c r="C81" i="1"/>
  <c r="D81" i="1"/>
  <c r="F81" i="1"/>
  <c r="G81" i="1"/>
  <c r="I81" i="1"/>
  <c r="J81" i="1"/>
  <c r="L81" i="1"/>
  <c r="M81" i="1"/>
  <c r="O81" i="1"/>
  <c r="P81" i="1"/>
  <c r="R81" i="1"/>
  <c r="S81" i="1"/>
  <c r="U81" i="1"/>
  <c r="V81" i="1"/>
  <c r="C82" i="1"/>
  <c r="D82" i="1"/>
  <c r="F82" i="1"/>
  <c r="G82" i="1"/>
  <c r="I82" i="1"/>
  <c r="J82" i="1"/>
  <c r="L82" i="1"/>
  <c r="M82" i="1"/>
  <c r="O82" i="1"/>
  <c r="P82" i="1"/>
  <c r="R82" i="1"/>
  <c r="S82" i="1"/>
  <c r="U82" i="1"/>
  <c r="V82" i="1"/>
  <c r="C83" i="1"/>
  <c r="D83" i="1"/>
  <c r="F83" i="1"/>
  <c r="G83" i="1"/>
  <c r="I83" i="1"/>
  <c r="J83" i="1"/>
  <c r="L83" i="1"/>
  <c r="M83" i="1"/>
  <c r="O83" i="1"/>
  <c r="P83" i="1"/>
  <c r="R83" i="1"/>
  <c r="S83" i="1"/>
  <c r="U83" i="1"/>
  <c r="V83" i="1"/>
  <c r="C84" i="1"/>
  <c r="D84" i="1"/>
  <c r="F84" i="1"/>
  <c r="G84" i="1"/>
  <c r="I84" i="1"/>
  <c r="J84" i="1"/>
  <c r="L84" i="1"/>
  <c r="M84" i="1"/>
  <c r="O84" i="1"/>
  <c r="P84" i="1"/>
  <c r="R84" i="1"/>
  <c r="S84" i="1"/>
  <c r="U84" i="1"/>
  <c r="V84" i="1"/>
  <c r="C85" i="1"/>
  <c r="D85" i="1"/>
  <c r="F85" i="1"/>
  <c r="G85" i="1"/>
  <c r="I85" i="1"/>
  <c r="J85" i="1"/>
  <c r="L85" i="1"/>
  <c r="M85" i="1"/>
  <c r="O85" i="1"/>
  <c r="P85" i="1"/>
  <c r="R85" i="1"/>
  <c r="S85" i="1"/>
  <c r="U85" i="1"/>
  <c r="V85" i="1"/>
  <c r="C86" i="1"/>
  <c r="D86" i="1"/>
  <c r="F86" i="1"/>
  <c r="G86" i="1"/>
  <c r="I86" i="1"/>
  <c r="J86" i="1"/>
  <c r="L86" i="1"/>
  <c r="M86" i="1"/>
  <c r="O86" i="1"/>
  <c r="P86" i="1"/>
  <c r="R86" i="1"/>
  <c r="S86" i="1"/>
  <c r="U86" i="1"/>
  <c r="V86" i="1"/>
  <c r="C87" i="1"/>
  <c r="D87" i="1"/>
  <c r="F87" i="1"/>
  <c r="G87" i="1"/>
  <c r="I87" i="1"/>
  <c r="J87" i="1"/>
  <c r="L87" i="1"/>
  <c r="M87" i="1"/>
  <c r="O87" i="1"/>
  <c r="P87" i="1"/>
  <c r="R87" i="1"/>
  <c r="S87" i="1"/>
  <c r="U87" i="1"/>
  <c r="V87" i="1"/>
  <c r="C88" i="1"/>
  <c r="D88" i="1"/>
  <c r="F88" i="1"/>
  <c r="G88" i="1"/>
  <c r="I88" i="1"/>
  <c r="J88" i="1"/>
  <c r="L88" i="1"/>
  <c r="M88" i="1"/>
  <c r="O88" i="1"/>
  <c r="P88" i="1"/>
  <c r="R88" i="1"/>
  <c r="S88" i="1"/>
  <c r="U88" i="1"/>
  <c r="V88" i="1"/>
  <c r="C89" i="1"/>
  <c r="D89" i="1"/>
  <c r="F89" i="1"/>
  <c r="G89" i="1"/>
  <c r="I89" i="1"/>
  <c r="J89" i="1"/>
  <c r="L89" i="1"/>
  <c r="M89" i="1"/>
  <c r="O89" i="1"/>
  <c r="P89" i="1"/>
  <c r="R89" i="1"/>
  <c r="S89" i="1"/>
  <c r="U89" i="1"/>
  <c r="V89" i="1"/>
  <c r="C90" i="1"/>
  <c r="D90" i="1"/>
  <c r="F90" i="1"/>
  <c r="G90" i="1"/>
  <c r="I90" i="1"/>
  <c r="J90" i="1"/>
  <c r="L90" i="1"/>
  <c r="M90" i="1"/>
  <c r="O90" i="1"/>
  <c r="P90" i="1"/>
  <c r="R90" i="1"/>
  <c r="S90" i="1"/>
  <c r="U90" i="1"/>
  <c r="V90" i="1"/>
  <c r="C91" i="1"/>
  <c r="D91" i="1"/>
  <c r="F91" i="1"/>
  <c r="G91" i="1"/>
  <c r="I91" i="1"/>
  <c r="J91" i="1"/>
  <c r="L91" i="1"/>
  <c r="M91" i="1"/>
  <c r="O91" i="1"/>
  <c r="P91" i="1"/>
  <c r="R91" i="1"/>
  <c r="S91" i="1"/>
  <c r="U91" i="1"/>
  <c r="V91" i="1"/>
  <c r="C92" i="1"/>
  <c r="D92" i="1"/>
  <c r="F92" i="1"/>
  <c r="G92" i="1"/>
  <c r="I92" i="1"/>
  <c r="J92" i="1"/>
  <c r="L92" i="1"/>
  <c r="M92" i="1"/>
  <c r="O92" i="1"/>
  <c r="P92" i="1"/>
  <c r="R92" i="1"/>
  <c r="S92" i="1"/>
  <c r="U92" i="1"/>
  <c r="V92" i="1"/>
  <c r="C93" i="1"/>
  <c r="D93" i="1"/>
  <c r="F93" i="1"/>
  <c r="G93" i="1"/>
  <c r="I93" i="1"/>
  <c r="J93" i="1"/>
  <c r="L93" i="1"/>
  <c r="M93" i="1"/>
  <c r="O93" i="1"/>
  <c r="P93" i="1"/>
  <c r="R93" i="1"/>
  <c r="S93" i="1"/>
  <c r="U93" i="1"/>
  <c r="V93" i="1"/>
  <c r="C94" i="1"/>
  <c r="D94" i="1"/>
  <c r="F94" i="1"/>
  <c r="G94" i="1"/>
  <c r="I94" i="1"/>
  <c r="J94" i="1"/>
  <c r="L94" i="1"/>
  <c r="M94" i="1"/>
  <c r="O94" i="1"/>
  <c r="P94" i="1"/>
  <c r="R94" i="1"/>
  <c r="S94" i="1"/>
  <c r="U94" i="1"/>
  <c r="V94" i="1"/>
  <c r="C95" i="1"/>
  <c r="D95" i="1"/>
  <c r="F95" i="1"/>
  <c r="G95" i="1"/>
  <c r="I95" i="1"/>
  <c r="J95" i="1"/>
  <c r="L95" i="1"/>
  <c r="M95" i="1"/>
  <c r="O95" i="1"/>
  <c r="P95" i="1"/>
  <c r="R95" i="1"/>
  <c r="S95" i="1"/>
  <c r="U95" i="1"/>
  <c r="V95" i="1"/>
  <c r="C96" i="1"/>
  <c r="D96" i="1"/>
  <c r="F96" i="1"/>
  <c r="G96" i="1"/>
  <c r="I96" i="1"/>
  <c r="J96" i="1"/>
  <c r="L96" i="1"/>
  <c r="M96" i="1"/>
  <c r="O96" i="1"/>
  <c r="P96" i="1"/>
  <c r="R96" i="1"/>
  <c r="S96" i="1"/>
  <c r="U96" i="1"/>
  <c r="V96" i="1"/>
  <c r="C97" i="1"/>
  <c r="D97" i="1"/>
  <c r="F97" i="1"/>
  <c r="G97" i="1"/>
  <c r="I97" i="1"/>
  <c r="J97" i="1"/>
  <c r="L97" i="1"/>
  <c r="M97" i="1"/>
  <c r="O97" i="1"/>
  <c r="P97" i="1"/>
  <c r="R97" i="1"/>
  <c r="S97" i="1"/>
  <c r="U97" i="1"/>
  <c r="V97" i="1"/>
  <c r="C98" i="1"/>
  <c r="D98" i="1"/>
  <c r="F98" i="1"/>
  <c r="G98" i="1"/>
  <c r="I98" i="1"/>
  <c r="J98" i="1"/>
  <c r="L98" i="1"/>
  <c r="M98" i="1"/>
  <c r="O98" i="1"/>
  <c r="P98" i="1"/>
  <c r="R98" i="1"/>
  <c r="S98" i="1"/>
  <c r="U98" i="1"/>
  <c r="V98" i="1"/>
  <c r="C99" i="1"/>
  <c r="D99" i="1"/>
  <c r="F99" i="1"/>
  <c r="G99" i="1"/>
  <c r="I99" i="1"/>
  <c r="J99" i="1"/>
  <c r="L99" i="1"/>
  <c r="M99" i="1"/>
  <c r="O99" i="1"/>
  <c r="P99" i="1"/>
  <c r="R99" i="1"/>
  <c r="S99" i="1"/>
  <c r="U99" i="1"/>
  <c r="V99" i="1"/>
  <c r="C100" i="1"/>
  <c r="D100" i="1"/>
  <c r="F100" i="1"/>
  <c r="G100" i="1"/>
  <c r="I100" i="1"/>
  <c r="J100" i="1"/>
  <c r="L100" i="1"/>
  <c r="M100" i="1"/>
  <c r="O100" i="1"/>
  <c r="P100" i="1"/>
  <c r="R100" i="1"/>
  <c r="S100" i="1"/>
  <c r="U100" i="1"/>
  <c r="V100" i="1"/>
  <c r="C101" i="1"/>
  <c r="D101" i="1"/>
  <c r="F101" i="1"/>
  <c r="G101" i="1"/>
  <c r="I101" i="1"/>
  <c r="J101" i="1"/>
  <c r="L101" i="1"/>
  <c r="M101" i="1"/>
  <c r="O101" i="1"/>
  <c r="P101" i="1"/>
  <c r="R101" i="1"/>
  <c r="S101" i="1"/>
  <c r="U101" i="1"/>
  <c r="V101" i="1"/>
  <c r="V5" i="1" l="1"/>
  <c r="U5" i="1"/>
  <c r="S5" i="1"/>
  <c r="R5" i="1"/>
  <c r="P5" i="1"/>
  <c r="O5" i="1"/>
  <c r="M5" i="1"/>
  <c r="L5" i="1"/>
  <c r="J5" i="1"/>
  <c r="I5" i="1"/>
  <c r="G5" i="1"/>
  <c r="F5" i="1"/>
  <c r="D5" i="1"/>
  <c r="C5" i="1"/>
  <c r="A5" i="1" l="1"/>
  <c r="Q5" i="1" l="1"/>
  <c r="K5" i="1"/>
  <c r="H5" i="1"/>
  <c r="B5" i="1"/>
  <c r="E5" i="1"/>
  <c r="T5" i="1"/>
  <c r="N5" i="1"/>
  <c r="V1" i="1"/>
  <c r="A6" i="1" l="1"/>
  <c r="B6" i="1" l="1"/>
  <c r="T6" i="1"/>
  <c r="E6" i="1"/>
  <c r="H6" i="1"/>
  <c r="Q6" i="1"/>
  <c r="K6" i="1"/>
  <c r="N6" i="1"/>
  <c r="A7" i="1"/>
  <c r="A8" i="1" l="1"/>
  <c r="N7" i="1"/>
  <c r="Q7" i="1"/>
  <c r="B7" i="1"/>
  <c r="E7" i="1"/>
  <c r="H7" i="1"/>
  <c r="K7" i="1"/>
  <c r="T7" i="1"/>
  <c r="A9" i="1" l="1"/>
  <c r="K8" i="1"/>
  <c r="N8" i="1"/>
  <c r="B8" i="1"/>
  <c r="T8" i="1"/>
  <c r="E8" i="1"/>
  <c r="Q8" i="1"/>
  <c r="H8" i="1"/>
  <c r="A10" i="1" l="1"/>
  <c r="T9" i="1"/>
  <c r="E9" i="1"/>
  <c r="H9" i="1"/>
  <c r="K9" i="1"/>
  <c r="N9" i="1"/>
  <c r="Q9" i="1"/>
  <c r="B9" i="1"/>
  <c r="A11" i="1" l="1"/>
  <c r="Q10" i="1"/>
  <c r="B10" i="1"/>
  <c r="T10" i="1"/>
  <c r="E10" i="1"/>
  <c r="N10" i="1"/>
  <c r="H10" i="1"/>
  <c r="K10" i="1"/>
  <c r="A12" i="1" l="1"/>
  <c r="K11" i="1"/>
  <c r="N11" i="1"/>
  <c r="Q11" i="1"/>
  <c r="T11" i="1"/>
  <c r="B11" i="1"/>
  <c r="E11" i="1"/>
  <c r="H11" i="1"/>
  <c r="A13" i="1" l="1"/>
  <c r="E12" i="1"/>
  <c r="H12" i="1"/>
  <c r="N12" i="1"/>
  <c r="Q12" i="1"/>
  <c r="B12" i="1"/>
  <c r="T12" i="1"/>
  <c r="K12" i="1"/>
  <c r="A14" i="1" l="1"/>
  <c r="Q13" i="1"/>
  <c r="B13" i="1"/>
  <c r="T13" i="1"/>
  <c r="E13" i="1"/>
  <c r="K13" i="1"/>
  <c r="N13" i="1"/>
  <c r="H13" i="1"/>
  <c r="A15" i="1" l="1"/>
  <c r="K14" i="1"/>
  <c r="N14" i="1"/>
  <c r="B14" i="1"/>
  <c r="E14" i="1"/>
  <c r="Q14" i="1"/>
  <c r="T14" i="1"/>
  <c r="H14" i="1"/>
  <c r="A16" i="1" l="1"/>
  <c r="H15" i="1"/>
  <c r="K15" i="1"/>
  <c r="N15" i="1"/>
  <c r="Q15" i="1"/>
  <c r="B15" i="1"/>
  <c r="T15" i="1"/>
  <c r="E15" i="1"/>
  <c r="A17" i="1" l="1"/>
  <c r="Q16" i="1"/>
  <c r="B16" i="1"/>
  <c r="T16" i="1"/>
  <c r="E16" i="1"/>
  <c r="H16" i="1"/>
  <c r="K16" i="1"/>
  <c r="N16" i="1"/>
  <c r="A18" i="1" l="1"/>
  <c r="N17" i="1"/>
  <c r="Q17" i="1"/>
  <c r="E17" i="1"/>
  <c r="H17" i="1"/>
  <c r="T17" i="1"/>
  <c r="K17" i="1"/>
  <c r="B17" i="1"/>
  <c r="A19" i="1" l="1"/>
  <c r="H18" i="1"/>
  <c r="K18" i="1"/>
  <c r="N18" i="1"/>
  <c r="Q18" i="1"/>
  <c r="B18" i="1"/>
  <c r="E18" i="1"/>
  <c r="T18" i="1"/>
  <c r="A20" i="1" l="1"/>
  <c r="B19" i="1"/>
  <c r="T19" i="1"/>
  <c r="E19" i="1"/>
  <c r="H19" i="1"/>
  <c r="Q19" i="1"/>
  <c r="K19" i="1"/>
  <c r="N19" i="1"/>
  <c r="A21" i="1" l="1"/>
  <c r="N20" i="1"/>
  <c r="Q20" i="1"/>
  <c r="B20" i="1"/>
  <c r="T20" i="1"/>
  <c r="E20" i="1"/>
  <c r="H20" i="1"/>
  <c r="K20" i="1"/>
  <c r="A22" i="1" l="1"/>
  <c r="H21" i="1"/>
  <c r="K21" i="1"/>
  <c r="B21" i="1"/>
  <c r="Q21" i="1"/>
  <c r="T21" i="1"/>
  <c r="E21" i="1"/>
  <c r="N21" i="1"/>
  <c r="A23" i="1" l="1"/>
  <c r="T22" i="1"/>
  <c r="E22" i="1"/>
  <c r="H22" i="1"/>
  <c r="N22" i="1"/>
  <c r="Q22" i="1"/>
  <c r="K22" i="1"/>
  <c r="B22" i="1"/>
  <c r="A24" i="1" l="1"/>
  <c r="N23" i="1"/>
  <c r="Q23" i="1"/>
  <c r="B23" i="1"/>
  <c r="E23" i="1"/>
  <c r="H23" i="1"/>
  <c r="K23" i="1"/>
  <c r="T23" i="1"/>
  <c r="A25" i="1" l="1"/>
  <c r="K24" i="1"/>
  <c r="N24" i="1"/>
  <c r="H24" i="1"/>
  <c r="Q24" i="1"/>
  <c r="B24" i="1"/>
  <c r="T24" i="1"/>
  <c r="E24" i="1"/>
  <c r="A26" i="1" l="1"/>
  <c r="T25" i="1"/>
  <c r="E25" i="1"/>
  <c r="H25" i="1"/>
  <c r="K25" i="1"/>
  <c r="N25" i="1"/>
  <c r="Q25" i="1"/>
  <c r="B25" i="1"/>
  <c r="A27" i="1" l="1"/>
  <c r="Q26" i="1"/>
  <c r="B26" i="1"/>
  <c r="T26" i="1"/>
  <c r="H26" i="1"/>
  <c r="K26" i="1"/>
  <c r="N26" i="1"/>
  <c r="E26" i="1"/>
  <c r="A28" i="1" l="1"/>
  <c r="K27" i="1"/>
  <c r="N27" i="1"/>
  <c r="Q27" i="1"/>
  <c r="T27" i="1"/>
  <c r="E27" i="1"/>
  <c r="H27" i="1"/>
  <c r="B27" i="1"/>
  <c r="A29" i="1" l="1"/>
  <c r="E28" i="1"/>
  <c r="H28" i="1"/>
  <c r="K28" i="1"/>
  <c r="N28" i="1"/>
  <c r="B28" i="1"/>
  <c r="Q28" i="1"/>
  <c r="T28" i="1"/>
  <c r="A30" i="1" l="1"/>
  <c r="Q29" i="1"/>
  <c r="B29" i="1"/>
  <c r="T29" i="1"/>
  <c r="E29" i="1"/>
  <c r="H29" i="1"/>
  <c r="N29" i="1"/>
  <c r="K29" i="1"/>
  <c r="A31" i="1" l="1"/>
  <c r="K30" i="1"/>
  <c r="N30" i="1"/>
  <c r="B30" i="1"/>
  <c r="E30" i="1"/>
  <c r="T30" i="1"/>
  <c r="Q30" i="1"/>
  <c r="H30" i="1"/>
  <c r="A32" i="1" l="1"/>
  <c r="H31" i="1"/>
  <c r="K31" i="1"/>
  <c r="Q31" i="1"/>
  <c r="N31" i="1"/>
  <c r="B31" i="1"/>
  <c r="T31" i="1"/>
  <c r="E31" i="1"/>
  <c r="A33" i="1" l="1"/>
  <c r="Q32" i="1"/>
  <c r="B32" i="1"/>
  <c r="T32" i="1"/>
  <c r="E32" i="1"/>
  <c r="H32" i="1"/>
  <c r="K32" i="1"/>
  <c r="N32" i="1"/>
  <c r="A34" i="1" l="1"/>
  <c r="N33" i="1"/>
  <c r="Q33" i="1"/>
  <c r="K33" i="1"/>
  <c r="B33" i="1"/>
  <c r="T33" i="1"/>
  <c r="E33" i="1"/>
  <c r="H33" i="1"/>
  <c r="A35" i="1" l="1"/>
  <c r="H34" i="1"/>
  <c r="K34" i="1"/>
  <c r="N34" i="1"/>
  <c r="Q34" i="1"/>
  <c r="T34" i="1"/>
  <c r="B34" i="1"/>
  <c r="E34" i="1"/>
  <c r="A36" i="1" l="1"/>
  <c r="B35" i="1"/>
  <c r="T35" i="1"/>
  <c r="E35" i="1"/>
  <c r="K35" i="1"/>
  <c r="N35" i="1"/>
  <c r="H35" i="1"/>
  <c r="Q35" i="1"/>
  <c r="A37" i="1" l="1"/>
  <c r="N36" i="1"/>
  <c r="Q36" i="1"/>
  <c r="B36" i="1"/>
  <c r="T36" i="1"/>
  <c r="H36" i="1"/>
  <c r="K36" i="1"/>
  <c r="E36" i="1"/>
  <c r="A38" i="1" l="1"/>
  <c r="H37" i="1"/>
  <c r="K37" i="1"/>
  <c r="B37" i="1"/>
  <c r="E37" i="1"/>
  <c r="N37" i="1"/>
  <c r="Q37" i="1"/>
  <c r="T37" i="1"/>
  <c r="A39" i="1" l="1"/>
  <c r="T38" i="1"/>
  <c r="E38" i="1"/>
  <c r="H38" i="1"/>
  <c r="B38" i="1"/>
  <c r="K38" i="1"/>
  <c r="N38" i="1"/>
  <c r="Q38" i="1"/>
  <c r="A40" i="1" l="1"/>
  <c r="N39" i="1"/>
  <c r="Q39" i="1"/>
  <c r="B39" i="1"/>
  <c r="E39" i="1"/>
  <c r="H39" i="1"/>
  <c r="K39" i="1"/>
  <c r="T39" i="1"/>
  <c r="A41" i="1" l="1"/>
  <c r="K40" i="1"/>
  <c r="N40" i="1"/>
  <c r="B40" i="1"/>
  <c r="T40" i="1"/>
  <c r="E40" i="1"/>
  <c r="H40" i="1"/>
  <c r="Q40" i="1"/>
  <c r="A42" i="1" l="1"/>
  <c r="T41" i="1"/>
  <c r="E41" i="1"/>
  <c r="H41" i="1"/>
  <c r="K41" i="1"/>
  <c r="N41" i="1"/>
  <c r="Q41" i="1"/>
  <c r="B41" i="1"/>
  <c r="A43" i="1" l="1"/>
  <c r="Q42" i="1"/>
  <c r="B42" i="1"/>
  <c r="T42" i="1"/>
  <c r="K42" i="1"/>
  <c r="E42" i="1"/>
  <c r="N42" i="1"/>
  <c r="H42" i="1"/>
  <c r="A44" i="1" l="1"/>
  <c r="K43" i="1"/>
  <c r="N43" i="1"/>
  <c r="Q43" i="1"/>
  <c r="T43" i="1"/>
  <c r="B43" i="1"/>
  <c r="E43" i="1"/>
  <c r="H43" i="1"/>
  <c r="A45" i="1" l="1"/>
  <c r="E44" i="1"/>
  <c r="H44" i="1"/>
  <c r="N44" i="1"/>
  <c r="K44" i="1"/>
  <c r="Q44" i="1"/>
  <c r="B44" i="1"/>
  <c r="T44" i="1"/>
  <c r="A46" i="1" l="1"/>
  <c r="Q45" i="1"/>
  <c r="B45" i="1"/>
  <c r="T45" i="1"/>
  <c r="E45" i="1"/>
  <c r="K45" i="1"/>
  <c r="H45" i="1"/>
  <c r="N45" i="1"/>
  <c r="A47" i="1" l="1"/>
  <c r="K46" i="1"/>
  <c r="N46" i="1"/>
  <c r="E46" i="1"/>
  <c r="Q46" i="1"/>
  <c r="H46" i="1"/>
  <c r="T46" i="1"/>
  <c r="B46" i="1"/>
  <c r="A48" i="1" l="1"/>
  <c r="H47" i="1"/>
  <c r="K47" i="1"/>
  <c r="T47" i="1"/>
  <c r="N47" i="1"/>
  <c r="E47" i="1"/>
  <c r="Q47" i="1"/>
  <c r="B47" i="1"/>
  <c r="A49" i="1" l="1"/>
  <c r="Q48" i="1"/>
  <c r="B48" i="1"/>
  <c r="T48" i="1"/>
  <c r="E48" i="1"/>
  <c r="K48" i="1"/>
  <c r="H48" i="1"/>
  <c r="N48" i="1"/>
  <c r="A50" i="1" l="1"/>
  <c r="N49" i="1"/>
  <c r="Q49" i="1"/>
  <c r="E49" i="1"/>
  <c r="H49" i="1"/>
  <c r="B49" i="1"/>
  <c r="K49" i="1"/>
  <c r="T49" i="1"/>
  <c r="A51" i="1" l="1"/>
  <c r="H50" i="1"/>
  <c r="K50" i="1"/>
  <c r="Q50" i="1"/>
  <c r="T50" i="1"/>
  <c r="B50" i="1"/>
  <c r="E50" i="1"/>
  <c r="N50" i="1"/>
  <c r="A52" i="1" l="1"/>
  <c r="B51" i="1"/>
  <c r="T51" i="1"/>
  <c r="E51" i="1"/>
  <c r="Q51" i="1"/>
  <c r="K51" i="1"/>
  <c r="H51" i="1"/>
  <c r="N51" i="1"/>
  <c r="A53" i="1" l="1"/>
  <c r="N52" i="1"/>
  <c r="Q52" i="1"/>
  <c r="B52" i="1"/>
  <c r="K52" i="1"/>
  <c r="H52" i="1"/>
  <c r="T52" i="1"/>
  <c r="E52" i="1"/>
  <c r="A54" i="1" l="1"/>
  <c r="H53" i="1"/>
  <c r="K53" i="1"/>
  <c r="B53" i="1"/>
  <c r="N53" i="1"/>
  <c r="Q53" i="1"/>
  <c r="T53" i="1"/>
  <c r="E53" i="1"/>
  <c r="A55" i="1" l="1"/>
  <c r="T54" i="1"/>
  <c r="E54" i="1"/>
  <c r="H54" i="1"/>
  <c r="K54" i="1"/>
  <c r="N54" i="1"/>
  <c r="Q54" i="1"/>
  <c r="B54" i="1"/>
  <c r="A56" i="1" l="1"/>
  <c r="N55" i="1"/>
  <c r="Q55" i="1"/>
  <c r="B55" i="1"/>
  <c r="H55" i="1"/>
  <c r="K55" i="1"/>
  <c r="E55" i="1"/>
  <c r="T55" i="1"/>
  <c r="A57" i="1" l="1"/>
  <c r="K56" i="1"/>
  <c r="N56" i="1"/>
  <c r="E56" i="1"/>
  <c r="H56" i="1"/>
  <c r="B56" i="1"/>
  <c r="T56" i="1"/>
  <c r="Q56" i="1"/>
  <c r="A58" i="1" l="1"/>
  <c r="T57" i="1"/>
  <c r="E57" i="1"/>
  <c r="H57" i="1"/>
  <c r="N57" i="1"/>
  <c r="B57" i="1"/>
  <c r="Q57" i="1"/>
  <c r="K57" i="1"/>
  <c r="A59" i="1" l="1"/>
  <c r="Q58" i="1"/>
  <c r="B58" i="1"/>
  <c r="T58" i="1"/>
  <c r="E58" i="1"/>
  <c r="H58" i="1"/>
  <c r="K58" i="1"/>
  <c r="N58" i="1"/>
  <c r="A60" i="1" l="1"/>
  <c r="K59" i="1"/>
  <c r="N59" i="1"/>
  <c r="T59" i="1"/>
  <c r="Q59" i="1"/>
  <c r="B59" i="1"/>
  <c r="E59" i="1"/>
  <c r="H59" i="1"/>
  <c r="A61" i="1" l="1"/>
  <c r="E60" i="1"/>
  <c r="H60" i="1"/>
  <c r="Q60" i="1"/>
  <c r="B60" i="1"/>
  <c r="T60" i="1"/>
  <c r="N60" i="1"/>
  <c r="K60" i="1"/>
  <c r="A62" i="1" l="1"/>
  <c r="Q61" i="1"/>
  <c r="B61" i="1"/>
  <c r="T61" i="1"/>
  <c r="E61" i="1"/>
  <c r="N61" i="1"/>
  <c r="H61" i="1"/>
  <c r="K61" i="1"/>
  <c r="A63" i="1" l="1"/>
  <c r="K62" i="1"/>
  <c r="N62" i="1"/>
  <c r="E62" i="1"/>
  <c r="H62" i="1"/>
  <c r="Q62" i="1"/>
  <c r="T62" i="1"/>
  <c r="B62" i="1"/>
  <c r="A64" i="1" l="1"/>
  <c r="H63" i="1"/>
  <c r="K63" i="1"/>
  <c r="E63" i="1"/>
  <c r="B63" i="1"/>
  <c r="N63" i="1"/>
  <c r="Q63" i="1"/>
  <c r="T63" i="1"/>
  <c r="A65" i="1" l="1"/>
  <c r="Q64" i="1"/>
  <c r="B64" i="1"/>
  <c r="E64" i="1"/>
  <c r="T64" i="1"/>
  <c r="K64" i="1"/>
  <c r="H64" i="1"/>
  <c r="N64" i="1"/>
  <c r="A66" i="1" l="1"/>
  <c r="N65" i="1"/>
  <c r="Q65" i="1"/>
  <c r="E65" i="1"/>
  <c r="H65" i="1"/>
  <c r="K65" i="1"/>
  <c r="T65" i="1"/>
  <c r="B65" i="1"/>
  <c r="A67" i="1" l="1"/>
  <c r="H66" i="1"/>
  <c r="K66" i="1"/>
  <c r="Q66" i="1"/>
  <c r="T66" i="1"/>
  <c r="B66" i="1"/>
  <c r="E66" i="1"/>
  <c r="N66" i="1"/>
  <c r="A68" i="1" l="1"/>
  <c r="B67" i="1"/>
  <c r="T67" i="1"/>
  <c r="E67" i="1"/>
  <c r="Q67" i="1"/>
  <c r="N67" i="1"/>
  <c r="H67" i="1"/>
  <c r="K67" i="1"/>
  <c r="A69" i="1" l="1"/>
  <c r="N68" i="1"/>
  <c r="Q68" i="1"/>
  <c r="B68" i="1"/>
  <c r="T68" i="1"/>
  <c r="K68" i="1"/>
  <c r="E68" i="1"/>
  <c r="H68" i="1"/>
  <c r="A70" i="1" l="1"/>
  <c r="H69" i="1"/>
  <c r="K69" i="1"/>
  <c r="B69" i="1"/>
  <c r="N69" i="1"/>
  <c r="Q69" i="1"/>
  <c r="T69" i="1"/>
  <c r="E69" i="1"/>
  <c r="A71" i="1" l="1"/>
  <c r="T70" i="1"/>
  <c r="E70" i="1"/>
  <c r="H70" i="1"/>
  <c r="K70" i="1"/>
  <c r="N70" i="1"/>
  <c r="Q70" i="1"/>
  <c r="B70" i="1"/>
  <c r="A72" i="1" l="1"/>
  <c r="N71" i="1"/>
  <c r="Q71" i="1"/>
  <c r="B71" i="1"/>
  <c r="H71" i="1"/>
  <c r="K71" i="1"/>
  <c r="T71" i="1"/>
  <c r="E71" i="1"/>
  <c r="A73" i="1" l="1"/>
  <c r="K72" i="1"/>
  <c r="N72" i="1"/>
  <c r="B72" i="1"/>
  <c r="H72" i="1"/>
  <c r="E72" i="1"/>
  <c r="T72" i="1"/>
  <c r="Q72" i="1"/>
  <c r="A74" i="1" l="1"/>
  <c r="T73" i="1"/>
  <c r="E73" i="1"/>
  <c r="H73" i="1"/>
  <c r="N73" i="1"/>
  <c r="K73" i="1"/>
  <c r="Q73" i="1"/>
  <c r="B73" i="1"/>
  <c r="A75" i="1" l="1"/>
  <c r="Q74" i="1"/>
  <c r="B74" i="1"/>
  <c r="T74" i="1"/>
  <c r="N74" i="1"/>
  <c r="E74" i="1"/>
  <c r="H74" i="1"/>
  <c r="K74" i="1"/>
  <c r="A76" i="1" l="1"/>
  <c r="K75" i="1"/>
  <c r="N75" i="1"/>
  <c r="T75" i="1"/>
  <c r="B75" i="1"/>
  <c r="E75" i="1"/>
  <c r="Q75" i="1"/>
  <c r="H75" i="1"/>
  <c r="A77" i="1" l="1"/>
  <c r="E76" i="1"/>
  <c r="H76" i="1"/>
  <c r="Q76" i="1"/>
  <c r="K76" i="1"/>
  <c r="B76" i="1"/>
  <c r="T76" i="1"/>
  <c r="N76" i="1"/>
  <c r="A78" i="1" l="1"/>
  <c r="Q77" i="1"/>
  <c r="B77" i="1"/>
  <c r="T77" i="1"/>
  <c r="E77" i="1"/>
  <c r="N77" i="1"/>
  <c r="H77" i="1"/>
  <c r="K77" i="1"/>
  <c r="A79" i="1" l="1"/>
  <c r="K78" i="1"/>
  <c r="N78" i="1"/>
  <c r="E78" i="1"/>
  <c r="Q78" i="1"/>
  <c r="T78" i="1"/>
  <c r="H78" i="1"/>
  <c r="B78" i="1"/>
  <c r="A80" i="1" l="1"/>
  <c r="H79" i="1"/>
  <c r="K79" i="1"/>
  <c r="N79" i="1"/>
  <c r="Q79" i="1"/>
  <c r="B79" i="1"/>
  <c r="T79" i="1"/>
  <c r="E79" i="1"/>
  <c r="A81" i="1" l="1"/>
  <c r="Q80" i="1"/>
  <c r="B80" i="1"/>
  <c r="T80" i="1"/>
  <c r="E80" i="1"/>
  <c r="K80" i="1"/>
  <c r="H80" i="1"/>
  <c r="N80" i="1"/>
  <c r="A82" i="1" l="1"/>
  <c r="N81" i="1"/>
  <c r="Q81" i="1"/>
  <c r="E81" i="1"/>
  <c r="H81" i="1"/>
  <c r="B81" i="1"/>
  <c r="K81" i="1"/>
  <c r="T81" i="1"/>
  <c r="A83" i="1" l="1"/>
  <c r="H82" i="1"/>
  <c r="K82" i="1"/>
  <c r="B82" i="1"/>
  <c r="T82" i="1"/>
  <c r="E82" i="1"/>
  <c r="Q82" i="1"/>
  <c r="N82" i="1"/>
  <c r="A84" i="1" l="1"/>
  <c r="B83" i="1"/>
  <c r="T83" i="1"/>
  <c r="E83" i="1"/>
  <c r="Q83" i="1"/>
  <c r="N83" i="1"/>
  <c r="H83" i="1"/>
  <c r="K83" i="1"/>
  <c r="A85" i="1" l="1"/>
  <c r="N84" i="1"/>
  <c r="Q84" i="1"/>
  <c r="B84" i="1"/>
  <c r="K84" i="1"/>
  <c r="T84" i="1"/>
  <c r="E84" i="1"/>
  <c r="H84" i="1"/>
  <c r="A86" i="1" l="1"/>
  <c r="H85" i="1"/>
  <c r="K85" i="1"/>
  <c r="N85" i="1"/>
  <c r="Q85" i="1"/>
  <c r="B85" i="1"/>
  <c r="T85" i="1"/>
  <c r="E85" i="1"/>
  <c r="A87" i="1" l="1"/>
  <c r="T86" i="1"/>
  <c r="E86" i="1"/>
  <c r="H86" i="1"/>
  <c r="K86" i="1"/>
  <c r="N86" i="1"/>
  <c r="Q86" i="1"/>
  <c r="B86" i="1"/>
  <c r="A88" i="1" l="1"/>
  <c r="N87" i="1"/>
  <c r="B87" i="1"/>
  <c r="Q87" i="1"/>
  <c r="H87" i="1"/>
  <c r="K87" i="1"/>
  <c r="E87" i="1"/>
  <c r="T87" i="1"/>
  <c r="A89" i="1" l="1"/>
  <c r="K88" i="1"/>
  <c r="N88" i="1"/>
  <c r="E88" i="1"/>
  <c r="Q88" i="1"/>
  <c r="H88" i="1"/>
  <c r="T88" i="1"/>
  <c r="B88" i="1"/>
  <c r="A90" i="1" l="1"/>
  <c r="T89" i="1"/>
  <c r="E89" i="1"/>
  <c r="H89" i="1"/>
  <c r="B89" i="1"/>
  <c r="Q89" i="1"/>
  <c r="K89" i="1"/>
  <c r="N89" i="1"/>
  <c r="A91" i="1" l="1"/>
  <c r="Q90" i="1"/>
  <c r="B90" i="1"/>
  <c r="T90" i="1"/>
  <c r="E90" i="1"/>
  <c r="N90" i="1"/>
  <c r="H90" i="1"/>
  <c r="K90" i="1"/>
  <c r="A92" i="1" l="1"/>
  <c r="K91" i="1"/>
  <c r="N91" i="1"/>
  <c r="Q91" i="1"/>
  <c r="T91" i="1"/>
  <c r="B91" i="1"/>
  <c r="H91" i="1"/>
  <c r="E91" i="1"/>
  <c r="A93" i="1" l="1"/>
  <c r="E92" i="1"/>
  <c r="H92" i="1"/>
  <c r="N92" i="1"/>
  <c r="Q92" i="1"/>
  <c r="B92" i="1"/>
  <c r="T92" i="1"/>
  <c r="K92" i="1"/>
  <c r="A94" i="1" l="1"/>
  <c r="Q93" i="1"/>
  <c r="B93" i="1"/>
  <c r="T93" i="1"/>
  <c r="E93" i="1"/>
  <c r="K93" i="1"/>
  <c r="N93" i="1"/>
  <c r="H93" i="1"/>
  <c r="A95" i="1" l="1"/>
  <c r="K94" i="1"/>
  <c r="N94" i="1"/>
  <c r="H94" i="1"/>
  <c r="T94" i="1"/>
  <c r="B94" i="1"/>
  <c r="Q94" i="1"/>
  <c r="E94" i="1"/>
  <c r="A96" i="1" l="1"/>
  <c r="H95" i="1"/>
  <c r="K95" i="1"/>
  <c r="T95" i="1"/>
  <c r="E95" i="1"/>
  <c r="B95" i="1"/>
  <c r="Q95" i="1"/>
  <c r="N95" i="1"/>
  <c r="A97" i="1" l="1"/>
  <c r="Q96" i="1"/>
  <c r="B96" i="1"/>
  <c r="E96" i="1"/>
  <c r="T96" i="1"/>
  <c r="H96" i="1"/>
  <c r="K96" i="1"/>
  <c r="N96" i="1"/>
  <c r="A98" i="1" l="1"/>
  <c r="N97" i="1"/>
  <c r="Q97" i="1"/>
  <c r="B97" i="1"/>
  <c r="T97" i="1"/>
  <c r="E97" i="1"/>
  <c r="H97" i="1"/>
  <c r="K97" i="1"/>
  <c r="A99" i="1" l="1"/>
  <c r="H98" i="1"/>
  <c r="K98" i="1"/>
  <c r="N98" i="1"/>
  <c r="Q98" i="1"/>
  <c r="B98" i="1"/>
  <c r="T98" i="1"/>
  <c r="E98" i="1"/>
  <c r="A100" i="1" l="1"/>
  <c r="B99" i="1"/>
  <c r="T99" i="1"/>
  <c r="E99" i="1"/>
  <c r="K99" i="1"/>
  <c r="N99" i="1"/>
  <c r="Q99" i="1"/>
  <c r="H99" i="1"/>
  <c r="A101" i="1" l="1"/>
  <c r="N100" i="1"/>
  <c r="Q100" i="1"/>
  <c r="B100" i="1"/>
  <c r="H100" i="1"/>
  <c r="K100" i="1"/>
  <c r="E100" i="1"/>
  <c r="T100" i="1"/>
  <c r="H101" i="1" l="1"/>
  <c r="K101" i="1"/>
  <c r="E101" i="1"/>
  <c r="N101" i="1"/>
  <c r="T101" i="1"/>
  <c r="Q101" i="1"/>
  <c r="B101" i="1"/>
</calcChain>
</file>

<file path=xl/sharedStrings.xml><?xml version="1.0" encoding="utf-8"?>
<sst xmlns="http://schemas.openxmlformats.org/spreadsheetml/2006/main" count="704" uniqueCount="704">
  <si>
    <t>For Date:</t>
  </si>
  <si>
    <t>Time</t>
  </si>
  <si>
    <t>EN1604-Room probe</t>
  </si>
  <si>
    <t>EN1605-Room probe</t>
  </si>
  <si>
    <t>EN1569-Room probe</t>
  </si>
  <si>
    <t>EN1570-Room probe</t>
  </si>
  <si>
    <t>EN1571-Room probe</t>
  </si>
  <si>
    <t>EN1568-Room probe</t>
  </si>
  <si>
    <t>EN1606-Room probe</t>
  </si>
  <si>
    <t>EN1604 Lower</t>
  </si>
  <si>
    <t>EN1604 Higher</t>
  </si>
  <si>
    <t>EN1605 Lower</t>
  </si>
  <si>
    <t>EN1605 Higher</t>
  </si>
  <si>
    <t>EN1569 Lower</t>
  </si>
  <si>
    <t>EN1569 Higher</t>
  </si>
  <si>
    <t>EN1570 Lower</t>
  </si>
  <si>
    <t>EN1570 Higher</t>
  </si>
  <si>
    <t>EN1571 Lower</t>
  </si>
  <si>
    <t>EN1571 Higher</t>
  </si>
  <si>
    <t>EN1568 Lower</t>
  </si>
  <si>
    <t>EN1568 Higher</t>
  </si>
  <si>
    <t>EN1606 Lower</t>
  </si>
  <si>
    <t>EN1606 Higher</t>
  </si>
  <si>
    <t>Temp</t>
  </si>
  <si>
    <t>vlookup</t>
  </si>
  <si>
    <t>l020220505060000</t>
  </si>
  <si>
    <t>l020220505061500</t>
  </si>
  <si>
    <t>l020220505063000</t>
  </si>
  <si>
    <t>l020220505064500</t>
  </si>
  <si>
    <t>l020220505070000</t>
  </si>
  <si>
    <t>l020220505071500</t>
  </si>
  <si>
    <t>l020220505073000</t>
  </si>
  <si>
    <t>l020220505074500</t>
  </si>
  <si>
    <t>l020220505080000</t>
  </si>
  <si>
    <t>l020220505081500</t>
  </si>
  <si>
    <t>l020220505083000</t>
  </si>
  <si>
    <t>l020220505084500</t>
  </si>
  <si>
    <t>l020220505090000</t>
  </si>
  <si>
    <t>l020220505091500</t>
  </si>
  <si>
    <t>l020220505093000</t>
  </si>
  <si>
    <t>l020220505094500</t>
  </si>
  <si>
    <t>l020220505100000</t>
  </si>
  <si>
    <t>l020220505101500</t>
  </si>
  <si>
    <t>l020220505103000</t>
  </si>
  <si>
    <t>l020220505104500</t>
  </si>
  <si>
    <t>l020220505110000</t>
  </si>
  <si>
    <t>l020220505111500</t>
  </si>
  <si>
    <t>l020220505113000</t>
  </si>
  <si>
    <t>l020220505114500</t>
  </si>
  <si>
    <t>l020220505120000</t>
  </si>
  <si>
    <t>l020220505121500</t>
  </si>
  <si>
    <t>l020220505123000</t>
  </si>
  <si>
    <t>l020220505124500</t>
  </si>
  <si>
    <t>l020220505130000</t>
  </si>
  <si>
    <t>l020220505131500</t>
  </si>
  <si>
    <t>l020220505133000</t>
  </si>
  <si>
    <t>l020220505134500</t>
  </si>
  <si>
    <t>l020220505140000</t>
  </si>
  <si>
    <t>l020220505141500</t>
  </si>
  <si>
    <t>l020220505143000</t>
  </si>
  <si>
    <t>l020220505144500</t>
  </si>
  <si>
    <t>l020220505150000</t>
  </si>
  <si>
    <t>l020220505151500</t>
  </si>
  <si>
    <t>l020220505153000</t>
  </si>
  <si>
    <t>l020220505154500</t>
  </si>
  <si>
    <t>l020220505160000</t>
  </si>
  <si>
    <t>l020220505161500</t>
  </si>
  <si>
    <t>l020220505163000</t>
  </si>
  <si>
    <t>l020220505164500</t>
  </si>
  <si>
    <t>l020220505170000</t>
  </si>
  <si>
    <t>l020220505171500</t>
  </si>
  <si>
    <t>l020220505173000</t>
  </si>
  <si>
    <t>l020220505174500</t>
  </si>
  <si>
    <t>l020220505180000</t>
  </si>
  <si>
    <t>l020220505181500</t>
  </si>
  <si>
    <t>l020220505183000</t>
  </si>
  <si>
    <t>l020220505184500</t>
  </si>
  <si>
    <t>l020220505190000</t>
  </si>
  <si>
    <t>l020220505191500</t>
  </si>
  <si>
    <t>l020220505193000</t>
  </si>
  <si>
    <t>l020220505194500</t>
  </si>
  <si>
    <t>l020220505200000</t>
  </si>
  <si>
    <t>l020220505201500</t>
  </si>
  <si>
    <t>l020220505203000</t>
  </si>
  <si>
    <t>l020220505204500</t>
  </si>
  <si>
    <t>l020220505210000</t>
  </si>
  <si>
    <t>l020220505211500</t>
  </si>
  <si>
    <t>l020220505213000</t>
  </si>
  <si>
    <t>l020220505214500</t>
  </si>
  <si>
    <t>l020220505220000</t>
  </si>
  <si>
    <t>l020220505221500</t>
  </si>
  <si>
    <t>l020220505223000</t>
  </si>
  <si>
    <t>l020220505224500</t>
  </si>
  <si>
    <t>l020220505230000</t>
  </si>
  <si>
    <t>l020220505231500</t>
  </si>
  <si>
    <t>l020220505233000</t>
  </si>
  <si>
    <t>l020220505234500</t>
  </si>
  <si>
    <t>l020220506000000</t>
  </si>
  <si>
    <t>l020220506001500</t>
  </si>
  <si>
    <t>l020220506003000</t>
  </si>
  <si>
    <t>l020220506004500</t>
  </si>
  <si>
    <t>l020220506010000</t>
  </si>
  <si>
    <t>l020220506011500</t>
  </si>
  <si>
    <t>l020220506013000</t>
  </si>
  <si>
    <t>l020220506014500</t>
  </si>
  <si>
    <t>l020220506020000</t>
  </si>
  <si>
    <t>l020220506021500</t>
  </si>
  <si>
    <t>l020220506023000</t>
  </si>
  <si>
    <t>l020220506024500</t>
  </si>
  <si>
    <t>l020220506030000</t>
  </si>
  <si>
    <t>l020220506031500</t>
  </si>
  <si>
    <t>l020220506033000</t>
  </si>
  <si>
    <t>l020220506034500</t>
  </si>
  <si>
    <t>l020220506040000</t>
  </si>
  <si>
    <t>l020220506041500</t>
  </si>
  <si>
    <t>l020220506043000</t>
  </si>
  <si>
    <t>l020220506044500</t>
  </si>
  <si>
    <t>l020220506050000</t>
  </si>
  <si>
    <t>l020220506051500</t>
  </si>
  <si>
    <t>l020220506053000</t>
  </si>
  <si>
    <t>l020220506054500</t>
  </si>
  <si>
    <t>l020220506060000</t>
  </si>
  <si>
    <t>l220220505060000</t>
  </si>
  <si>
    <t>l220220505061500</t>
  </si>
  <si>
    <t>l220220505063000</t>
  </si>
  <si>
    <t>l220220505064500</t>
  </si>
  <si>
    <t>l220220505070000</t>
  </si>
  <si>
    <t>l220220505071500</t>
  </si>
  <si>
    <t>l220220505073000</t>
  </si>
  <si>
    <t>l220220505074500</t>
  </si>
  <si>
    <t>l220220505080000</t>
  </si>
  <si>
    <t>l220220505081500</t>
  </si>
  <si>
    <t>l220220505083000</t>
  </si>
  <si>
    <t>l220220505084500</t>
  </si>
  <si>
    <t>l220220505090000</t>
  </si>
  <si>
    <t>l220220505091500</t>
  </si>
  <si>
    <t>l220220505093000</t>
  </si>
  <si>
    <t>l220220505094500</t>
  </si>
  <si>
    <t>l220220505100000</t>
  </si>
  <si>
    <t>l220220505101500</t>
  </si>
  <si>
    <t>l220220505103000</t>
  </si>
  <si>
    <t>l220220505104500</t>
  </si>
  <si>
    <t>l220220505110000</t>
  </si>
  <si>
    <t>l220220505111500</t>
  </si>
  <si>
    <t>l220220505113000</t>
  </si>
  <si>
    <t>l220220505114500</t>
  </si>
  <si>
    <t>l220220505120000</t>
  </si>
  <si>
    <t>l220220505121500</t>
  </si>
  <si>
    <t>l220220505123000</t>
  </si>
  <si>
    <t>l220220505124500</t>
  </si>
  <si>
    <t>l220220505130000</t>
  </si>
  <si>
    <t>l220220505131500</t>
  </si>
  <si>
    <t>l220220505133000</t>
  </si>
  <si>
    <t>l220220505134500</t>
  </si>
  <si>
    <t>l220220505140000</t>
  </si>
  <si>
    <t>l220220505141500</t>
  </si>
  <si>
    <t>l220220505143000</t>
  </si>
  <si>
    <t>l220220505144500</t>
  </si>
  <si>
    <t>l220220505150000</t>
  </si>
  <si>
    <t>l220220505151500</t>
  </si>
  <si>
    <t>l220220505153000</t>
  </si>
  <si>
    <t>l220220505154500</t>
  </si>
  <si>
    <t>l220220505160000</t>
  </si>
  <si>
    <t>l220220505161500</t>
  </si>
  <si>
    <t>l220220505163000</t>
  </si>
  <si>
    <t>l220220505164500</t>
  </si>
  <si>
    <t>l220220505170000</t>
  </si>
  <si>
    <t>l220220505171500</t>
  </si>
  <si>
    <t>l220220505173000</t>
  </si>
  <si>
    <t>l220220505174500</t>
  </si>
  <si>
    <t>l220220505180000</t>
  </si>
  <si>
    <t>l220220505181500</t>
  </si>
  <si>
    <t>l220220505183000</t>
  </si>
  <si>
    <t>l220220505184500</t>
  </si>
  <si>
    <t>l220220505190000</t>
  </si>
  <si>
    <t>l220220505191500</t>
  </si>
  <si>
    <t>l220220505193000</t>
  </si>
  <si>
    <t>l220220505194500</t>
  </si>
  <si>
    <t>l220220505200000</t>
  </si>
  <si>
    <t>l220220505201500</t>
  </si>
  <si>
    <t>l220220505203000</t>
  </si>
  <si>
    <t>l220220505204500</t>
  </si>
  <si>
    <t>l220220505210000</t>
  </si>
  <si>
    <t>l220220505211500</t>
  </si>
  <si>
    <t>l220220505213000</t>
  </si>
  <si>
    <t>l220220505214500</t>
  </si>
  <si>
    <t>l220220505220000</t>
  </si>
  <si>
    <t>l220220505221500</t>
  </si>
  <si>
    <t>l220220505223000</t>
  </si>
  <si>
    <t>l220220505224500</t>
  </si>
  <si>
    <t>l220220505230000</t>
  </si>
  <si>
    <t>l220220505231500</t>
  </si>
  <si>
    <t>l220220505233000</t>
  </si>
  <si>
    <t>l220220505234500</t>
  </si>
  <si>
    <t>l220220506000000</t>
  </si>
  <si>
    <t>l220220506001500</t>
  </si>
  <si>
    <t>l220220506003000</t>
  </si>
  <si>
    <t>l220220506004500</t>
  </si>
  <si>
    <t>l220220506010000</t>
  </si>
  <si>
    <t>l220220506011500</t>
  </si>
  <si>
    <t>l220220506013000</t>
  </si>
  <si>
    <t>l220220506014500</t>
  </si>
  <si>
    <t>l220220506020000</t>
  </si>
  <si>
    <t>l220220506021500</t>
  </si>
  <si>
    <t>l220220506023000</t>
  </si>
  <si>
    <t>l220220506024500</t>
  </si>
  <si>
    <t>l220220506030000</t>
  </si>
  <si>
    <t>l220220506031500</t>
  </si>
  <si>
    <t>l220220506033000</t>
  </si>
  <si>
    <t>l220220506034500</t>
  </si>
  <si>
    <t>l220220506040000</t>
  </si>
  <si>
    <t>l220220506041500</t>
  </si>
  <si>
    <t>l220220506043000</t>
  </si>
  <si>
    <t>l220220506044500</t>
  </si>
  <si>
    <t>l220220506050000</t>
  </si>
  <si>
    <t>l220220506051500</t>
  </si>
  <si>
    <t>l220220506053000</t>
  </si>
  <si>
    <t>l220220506054500</t>
  </si>
  <si>
    <t>l220220506060000</t>
  </si>
  <si>
    <t>l420220505060000</t>
  </si>
  <si>
    <t>l420220505061500</t>
  </si>
  <si>
    <t>l420220505063000</t>
  </si>
  <si>
    <t>l420220505064500</t>
  </si>
  <si>
    <t>l420220505070000</t>
  </si>
  <si>
    <t>l420220505071500</t>
  </si>
  <si>
    <t>l420220505073000</t>
  </si>
  <si>
    <t>l420220505074500</t>
  </si>
  <si>
    <t>l420220505080000</t>
  </si>
  <si>
    <t>l420220505081500</t>
  </si>
  <si>
    <t>l420220505083000</t>
  </si>
  <si>
    <t>l420220505084500</t>
  </si>
  <si>
    <t>l420220505090000</t>
  </si>
  <si>
    <t>l420220505091500</t>
  </si>
  <si>
    <t>l420220505093000</t>
  </si>
  <si>
    <t>l420220505094500</t>
  </si>
  <si>
    <t>l420220505100000</t>
  </si>
  <si>
    <t>l420220505101500</t>
  </si>
  <si>
    <t>l420220505103000</t>
  </si>
  <si>
    <t>l420220505104500</t>
  </si>
  <si>
    <t>l420220505110000</t>
  </si>
  <si>
    <t>l420220505111500</t>
  </si>
  <si>
    <t>l420220505113000</t>
  </si>
  <si>
    <t>l420220505114500</t>
  </si>
  <si>
    <t>l420220505120000</t>
  </si>
  <si>
    <t>l420220505121500</t>
  </si>
  <si>
    <t>l420220505123000</t>
  </si>
  <si>
    <t>l420220505124500</t>
  </si>
  <si>
    <t>l420220505130000</t>
  </si>
  <si>
    <t>l420220505131500</t>
  </si>
  <si>
    <t>l420220505133000</t>
  </si>
  <si>
    <t>l420220505134500</t>
  </si>
  <si>
    <t>l420220505140000</t>
  </si>
  <si>
    <t>l420220505141500</t>
  </si>
  <si>
    <t>l420220505143000</t>
  </si>
  <si>
    <t>l420220505144500</t>
  </si>
  <si>
    <t>l420220505150000</t>
  </si>
  <si>
    <t>l420220505151500</t>
  </si>
  <si>
    <t>l420220505153000</t>
  </si>
  <si>
    <t>l420220505154500</t>
  </si>
  <si>
    <t>l420220505160000</t>
  </si>
  <si>
    <t>l420220505161500</t>
  </si>
  <si>
    <t>l420220505163000</t>
  </si>
  <si>
    <t>l420220505164500</t>
  </si>
  <si>
    <t>l420220505170000</t>
  </si>
  <si>
    <t>l420220505171500</t>
  </si>
  <si>
    <t>l420220505173000</t>
  </si>
  <si>
    <t>l420220505174500</t>
  </si>
  <si>
    <t>l420220505180000</t>
  </si>
  <si>
    <t>l420220505181500</t>
  </si>
  <si>
    <t>l420220505183000</t>
  </si>
  <si>
    <t>l420220505184500</t>
  </si>
  <si>
    <t>l420220505190000</t>
  </si>
  <si>
    <t>l420220505191500</t>
  </si>
  <si>
    <t>l420220505193000</t>
  </si>
  <si>
    <t>l420220505194500</t>
  </si>
  <si>
    <t>l420220505200000</t>
  </si>
  <si>
    <t>l420220505201500</t>
  </si>
  <si>
    <t>l420220505203000</t>
  </si>
  <si>
    <t>l420220505204500</t>
  </si>
  <si>
    <t>l420220505210000</t>
  </si>
  <si>
    <t>l420220505211500</t>
  </si>
  <si>
    <t>l420220505213000</t>
  </si>
  <si>
    <t>l420220505214500</t>
  </si>
  <si>
    <t>l420220505220000</t>
  </si>
  <si>
    <t>l420220505221500</t>
  </si>
  <si>
    <t>l420220505223000</t>
  </si>
  <si>
    <t>l420220505224500</t>
  </si>
  <si>
    <t>l420220505230000</t>
  </si>
  <si>
    <t>l420220505231500</t>
  </si>
  <si>
    <t>l420220505233000</t>
  </si>
  <si>
    <t>l420220505234500</t>
  </si>
  <si>
    <t>l420220506000000</t>
  </si>
  <si>
    <t>l420220506001500</t>
  </si>
  <si>
    <t>l420220506003000</t>
  </si>
  <si>
    <t>l420220506004500</t>
  </si>
  <si>
    <t>l420220506010000</t>
  </si>
  <si>
    <t>l420220506011500</t>
  </si>
  <si>
    <t>l420220506013000</t>
  </si>
  <si>
    <t>l420220506014500</t>
  </si>
  <si>
    <t>l420220506020000</t>
  </si>
  <si>
    <t>l420220506021500</t>
  </si>
  <si>
    <t>l420220506023000</t>
  </si>
  <si>
    <t>l420220506024500</t>
  </si>
  <si>
    <t>l420220506030000</t>
  </si>
  <si>
    <t>l420220506031500</t>
  </si>
  <si>
    <t>l420220506033000</t>
  </si>
  <si>
    <t>l420220506034500</t>
  </si>
  <si>
    <t>l420220506040000</t>
  </si>
  <si>
    <t>l420220506041500</t>
  </si>
  <si>
    <t>l420220506043000</t>
  </si>
  <si>
    <t>l420220506044500</t>
  </si>
  <si>
    <t>l420220506050000</t>
  </si>
  <si>
    <t>l420220506051500</t>
  </si>
  <si>
    <t>l420220506053000</t>
  </si>
  <si>
    <t>l420220506054500</t>
  </si>
  <si>
    <t>l420220506060000</t>
  </si>
  <si>
    <t>l620220505060000</t>
  </si>
  <si>
    <t>l620220505061500</t>
  </si>
  <si>
    <t>l620220505063000</t>
  </si>
  <si>
    <t>l620220505064500</t>
  </si>
  <si>
    <t>l620220505070000</t>
  </si>
  <si>
    <t>l620220505071500</t>
  </si>
  <si>
    <t>l620220505073000</t>
  </si>
  <si>
    <t>l620220505074500</t>
  </si>
  <si>
    <t>l620220505080000</t>
  </si>
  <si>
    <t>l620220505081500</t>
  </si>
  <si>
    <t>l620220505083000</t>
  </si>
  <si>
    <t>l620220505084500</t>
  </si>
  <si>
    <t>l620220505090000</t>
  </si>
  <si>
    <t>l620220505091500</t>
  </si>
  <si>
    <t>l620220505093000</t>
  </si>
  <si>
    <t>l620220505094500</t>
  </si>
  <si>
    <t>l620220505100000</t>
  </si>
  <si>
    <t>l620220505101500</t>
  </si>
  <si>
    <t>l620220505103000</t>
  </si>
  <si>
    <t>l620220505104500</t>
  </si>
  <si>
    <t>l620220505110000</t>
  </si>
  <si>
    <t>l620220505111500</t>
  </si>
  <si>
    <t>l620220505113000</t>
  </si>
  <si>
    <t>l620220505114500</t>
  </si>
  <si>
    <t>l620220505120000</t>
  </si>
  <si>
    <t>l620220505121500</t>
  </si>
  <si>
    <t>l620220505123000</t>
  </si>
  <si>
    <t>l620220505124500</t>
  </si>
  <si>
    <t>l620220505130000</t>
  </si>
  <si>
    <t>l620220505131500</t>
  </si>
  <si>
    <t>l620220505133000</t>
  </si>
  <si>
    <t>l620220505134500</t>
  </si>
  <si>
    <t>l620220505140000</t>
  </si>
  <si>
    <t>l620220505141500</t>
  </si>
  <si>
    <t>l620220505143000</t>
  </si>
  <si>
    <t>l620220505144500</t>
  </si>
  <si>
    <t>l620220505150000</t>
  </si>
  <si>
    <t>l620220505151500</t>
  </si>
  <si>
    <t>l620220505153000</t>
  </si>
  <si>
    <t>l620220505154500</t>
  </si>
  <si>
    <t>l620220505160000</t>
  </si>
  <si>
    <t>l620220505161500</t>
  </si>
  <si>
    <t>l620220505163000</t>
  </si>
  <si>
    <t>l620220505164500</t>
  </si>
  <si>
    <t>l620220505170000</t>
  </si>
  <si>
    <t>l620220505171500</t>
  </si>
  <si>
    <t>l620220505173000</t>
  </si>
  <si>
    <t>l620220505174500</t>
  </si>
  <si>
    <t>l620220505180000</t>
  </si>
  <si>
    <t>l620220505181500</t>
  </si>
  <si>
    <t>l620220505183000</t>
  </si>
  <si>
    <t>l620220505184500</t>
  </si>
  <si>
    <t>l620220505190000</t>
  </si>
  <si>
    <t>l620220505191500</t>
  </si>
  <si>
    <t>l620220505193000</t>
  </si>
  <si>
    <t>l620220505194500</t>
  </si>
  <si>
    <t>l620220505200000</t>
  </si>
  <si>
    <t>l620220505201500</t>
  </si>
  <si>
    <t>l620220505203000</t>
  </si>
  <si>
    <t>l620220505204500</t>
  </si>
  <si>
    <t>l620220505210000</t>
  </si>
  <si>
    <t>l620220505211500</t>
  </si>
  <si>
    <t>l620220505213000</t>
  </si>
  <si>
    <t>l620220505214500</t>
  </si>
  <si>
    <t>l620220505220000</t>
  </si>
  <si>
    <t>l620220505221500</t>
  </si>
  <si>
    <t>l620220505223000</t>
  </si>
  <si>
    <t>l620220505224500</t>
  </si>
  <si>
    <t>l620220505230000</t>
  </si>
  <si>
    <t>l620220505231500</t>
  </si>
  <si>
    <t>l620220505233000</t>
  </si>
  <si>
    <t>l620220505234500</t>
  </si>
  <si>
    <t>l620220506000000</t>
  </si>
  <si>
    <t>l620220506001500</t>
  </si>
  <si>
    <t>l620220506003000</t>
  </si>
  <si>
    <t>l620220506004500</t>
  </si>
  <si>
    <t>l620220506010000</t>
  </si>
  <si>
    <t>l620220506011500</t>
  </si>
  <si>
    <t>l620220506013000</t>
  </si>
  <si>
    <t>l620220506014500</t>
  </si>
  <si>
    <t>l620220506020000</t>
  </si>
  <si>
    <t>l620220506021500</t>
  </si>
  <si>
    <t>l620220506023000</t>
  </si>
  <si>
    <t>l620220506024500</t>
  </si>
  <si>
    <t>l620220506030000</t>
  </si>
  <si>
    <t>l620220506031500</t>
  </si>
  <si>
    <t>l620220506033000</t>
  </si>
  <si>
    <t>l620220506034500</t>
  </si>
  <si>
    <t>l620220506040000</t>
  </si>
  <si>
    <t>l620220506041500</t>
  </si>
  <si>
    <t>l620220506043000</t>
  </si>
  <si>
    <t>l620220506044500</t>
  </si>
  <si>
    <t>l620220506050000</t>
  </si>
  <si>
    <t>l620220506051500</t>
  </si>
  <si>
    <t>l620220506053000</t>
  </si>
  <si>
    <t>l620220506054500</t>
  </si>
  <si>
    <t>l620220506060000</t>
  </si>
  <si>
    <t>l820220505060000</t>
  </si>
  <si>
    <t>l820220505061500</t>
  </si>
  <si>
    <t>l820220505063000</t>
  </si>
  <si>
    <t>l820220505064500</t>
  </si>
  <si>
    <t>l820220505070000</t>
  </si>
  <si>
    <t>l820220505071500</t>
  </si>
  <si>
    <t>l820220505073000</t>
  </si>
  <si>
    <t>l820220505074500</t>
  </si>
  <si>
    <t>l820220505080000</t>
  </si>
  <si>
    <t>l820220505081500</t>
  </si>
  <si>
    <t>l820220505083000</t>
  </si>
  <si>
    <t>l820220505084500</t>
  </si>
  <si>
    <t>l820220505090000</t>
  </si>
  <si>
    <t>l820220505091500</t>
  </si>
  <si>
    <t>l820220505093000</t>
  </si>
  <si>
    <t>l820220505094500</t>
  </si>
  <si>
    <t>l820220505100000</t>
  </si>
  <si>
    <t>l820220505101500</t>
  </si>
  <si>
    <t>l820220505103000</t>
  </si>
  <si>
    <t>l820220505104500</t>
  </si>
  <si>
    <t>l820220505110000</t>
  </si>
  <si>
    <t>l820220505111500</t>
  </si>
  <si>
    <t>l820220505113000</t>
  </si>
  <si>
    <t>l820220505114500</t>
  </si>
  <si>
    <t>l820220505120000</t>
  </si>
  <si>
    <t>l820220505121500</t>
  </si>
  <si>
    <t>l820220505123000</t>
  </si>
  <si>
    <t>l820220505124500</t>
  </si>
  <si>
    <t>l820220505130000</t>
  </si>
  <si>
    <t>l820220505131500</t>
  </si>
  <si>
    <t>l820220505133000</t>
  </si>
  <si>
    <t>l820220505134500</t>
  </si>
  <si>
    <t>l820220505140000</t>
  </si>
  <si>
    <t>l820220505141500</t>
  </si>
  <si>
    <t>l820220505143000</t>
  </si>
  <si>
    <t>l820220505144500</t>
  </si>
  <si>
    <t>l820220505150000</t>
  </si>
  <si>
    <t>l820220505151500</t>
  </si>
  <si>
    <t>l820220505153000</t>
  </si>
  <si>
    <t>l820220505154500</t>
  </si>
  <si>
    <t>l820220505160000</t>
  </si>
  <si>
    <t>l820220505161500</t>
  </si>
  <si>
    <t>l820220505163000</t>
  </si>
  <si>
    <t>l820220505164500</t>
  </si>
  <si>
    <t>l820220505170000</t>
  </si>
  <si>
    <t>l820220505171500</t>
  </si>
  <si>
    <t>l820220505173000</t>
  </si>
  <si>
    <t>l820220505174500</t>
  </si>
  <si>
    <t>l820220505180000</t>
  </si>
  <si>
    <t>l820220505181500</t>
  </si>
  <si>
    <t>l820220505183000</t>
  </si>
  <si>
    <t>l820220505184500</t>
  </si>
  <si>
    <t>l820220505190000</t>
  </si>
  <si>
    <t>l820220505191500</t>
  </si>
  <si>
    <t>l820220505193000</t>
  </si>
  <si>
    <t>l820220505194500</t>
  </si>
  <si>
    <t>l820220505200000</t>
  </si>
  <si>
    <t>l820220505201500</t>
  </si>
  <si>
    <t>l820220505203000</t>
  </si>
  <si>
    <t>l820220505204500</t>
  </si>
  <si>
    <t>l820220505210000</t>
  </si>
  <si>
    <t>l820220505211500</t>
  </si>
  <si>
    <t>l820220505213000</t>
  </si>
  <si>
    <t>l820220505214500</t>
  </si>
  <si>
    <t>l820220505220000</t>
  </si>
  <si>
    <t>l820220505221500</t>
  </si>
  <si>
    <t>l820220505223000</t>
  </si>
  <si>
    <t>l820220505224500</t>
  </si>
  <si>
    <t>l820220505230000</t>
  </si>
  <si>
    <t>l820220505231500</t>
  </si>
  <si>
    <t>l820220505233000</t>
  </si>
  <si>
    <t>l820220505234500</t>
  </si>
  <si>
    <t>l820220506000000</t>
  </si>
  <si>
    <t>l820220506001500</t>
  </si>
  <si>
    <t>l820220506003000</t>
  </si>
  <si>
    <t>l820220506004500</t>
  </si>
  <si>
    <t>l820220506010000</t>
  </si>
  <si>
    <t>l820220506011500</t>
  </si>
  <si>
    <t>l820220506013000</t>
  </si>
  <si>
    <t>l820220506014500</t>
  </si>
  <si>
    <t>l820220506020000</t>
  </si>
  <si>
    <t>l820220506021500</t>
  </si>
  <si>
    <t>l820220506023000</t>
  </si>
  <si>
    <t>l820220506024500</t>
  </si>
  <si>
    <t>l820220506030000</t>
  </si>
  <si>
    <t>l820220506031500</t>
  </si>
  <si>
    <t>l820220506033000</t>
  </si>
  <si>
    <t>l820220506034500</t>
  </si>
  <si>
    <t>l820220506040000</t>
  </si>
  <si>
    <t>l820220506041500</t>
  </si>
  <si>
    <t>l820220506043000</t>
  </si>
  <si>
    <t>l820220506044500</t>
  </si>
  <si>
    <t>l820220506050000</t>
  </si>
  <si>
    <t>l820220506051500</t>
  </si>
  <si>
    <t>l820220506053000</t>
  </si>
  <si>
    <t>l820220506054500</t>
  </si>
  <si>
    <t>l820220506060000</t>
  </si>
  <si>
    <t>l1020220505060000</t>
  </si>
  <si>
    <t>l1020220505061500</t>
  </si>
  <si>
    <t>l1020220505063000</t>
  </si>
  <si>
    <t>l1020220505064500</t>
  </si>
  <si>
    <t>l1020220505070000</t>
  </si>
  <si>
    <t>l1020220505071500</t>
  </si>
  <si>
    <t>l1020220505073000</t>
  </si>
  <si>
    <t>l1020220505074500</t>
  </si>
  <si>
    <t>l1020220505080000</t>
  </si>
  <si>
    <t>l1020220505081500</t>
  </si>
  <si>
    <t>l1020220505083000</t>
  </si>
  <si>
    <t>l1020220505084500</t>
  </si>
  <si>
    <t>l1020220505090000</t>
  </si>
  <si>
    <t>l1020220505091500</t>
  </si>
  <si>
    <t>l1020220505093000</t>
  </si>
  <si>
    <t>l1020220505094500</t>
  </si>
  <si>
    <t>l1020220505100000</t>
  </si>
  <si>
    <t>l1020220505101500</t>
  </si>
  <si>
    <t>l1020220505103000</t>
  </si>
  <si>
    <t>l1020220505104500</t>
  </si>
  <si>
    <t>l1020220505110000</t>
  </si>
  <si>
    <t>l1020220505111500</t>
  </si>
  <si>
    <t>l1020220505113000</t>
  </si>
  <si>
    <t>l1020220505114500</t>
  </si>
  <si>
    <t>l1020220505120000</t>
  </si>
  <si>
    <t>l1020220505121500</t>
  </si>
  <si>
    <t>l1020220505123000</t>
  </si>
  <si>
    <t>l1020220505124500</t>
  </si>
  <si>
    <t>l1020220505130000</t>
  </si>
  <si>
    <t>l1020220505131500</t>
  </si>
  <si>
    <t>l1020220505133000</t>
  </si>
  <si>
    <t>l1020220505134500</t>
  </si>
  <si>
    <t>l1020220505140000</t>
  </si>
  <si>
    <t>l1020220505141500</t>
  </si>
  <si>
    <t>l1020220505143000</t>
  </si>
  <si>
    <t>l1020220505144500</t>
  </si>
  <si>
    <t>l1020220505150000</t>
  </si>
  <si>
    <t>l1020220505151500</t>
  </si>
  <si>
    <t>l1020220505153000</t>
  </si>
  <si>
    <t>l1020220505154500</t>
  </si>
  <si>
    <t>l1020220505160000</t>
  </si>
  <si>
    <t>l1020220505161500</t>
  </si>
  <si>
    <t>l1020220505163000</t>
  </si>
  <si>
    <t>l1020220505164500</t>
  </si>
  <si>
    <t>l1020220505170000</t>
  </si>
  <si>
    <t>l1020220505171500</t>
  </si>
  <si>
    <t>l1020220505173000</t>
  </si>
  <si>
    <t>l1020220505174500</t>
  </si>
  <si>
    <t>l1020220505180000</t>
  </si>
  <si>
    <t>l1020220505181500</t>
  </si>
  <si>
    <t>l1020220505183000</t>
  </si>
  <si>
    <t>l1020220505184500</t>
  </si>
  <si>
    <t>l1020220505190000</t>
  </si>
  <si>
    <t>l1020220505191500</t>
  </si>
  <si>
    <t>l1020220505193000</t>
  </si>
  <si>
    <t>l1020220505194500</t>
  </si>
  <si>
    <t>l1020220505200000</t>
  </si>
  <si>
    <t>l1020220505201500</t>
  </si>
  <si>
    <t>l1020220505203000</t>
  </si>
  <si>
    <t>l1020220505204500</t>
  </si>
  <si>
    <t>l1020220505210000</t>
  </si>
  <si>
    <t>l1020220505211500</t>
  </si>
  <si>
    <t>l1020220505213000</t>
  </si>
  <si>
    <t>l1020220505214500</t>
  </si>
  <si>
    <t>l1020220505220000</t>
  </si>
  <si>
    <t>l1020220505221500</t>
  </si>
  <si>
    <t>l1020220505223000</t>
  </si>
  <si>
    <t>l1020220505224500</t>
  </si>
  <si>
    <t>l1020220505230000</t>
  </si>
  <si>
    <t>l1020220505231500</t>
  </si>
  <si>
    <t>l1020220505233000</t>
  </si>
  <si>
    <t>l1020220505234500</t>
  </si>
  <si>
    <t>l1020220506000000</t>
  </si>
  <si>
    <t>l1020220506001500</t>
  </si>
  <si>
    <t>l1020220506003000</t>
  </si>
  <si>
    <t>l1020220506004500</t>
  </si>
  <si>
    <t>l1020220506010000</t>
  </si>
  <si>
    <t>l1020220506011500</t>
  </si>
  <si>
    <t>l1020220506013000</t>
  </si>
  <si>
    <t>l1020220506014500</t>
  </si>
  <si>
    <t>l1020220506020000</t>
  </si>
  <si>
    <t>l1020220506021500</t>
  </si>
  <si>
    <t>l1020220506023000</t>
  </si>
  <si>
    <t>l1020220506024500</t>
  </si>
  <si>
    <t>l1020220506030000</t>
  </si>
  <si>
    <t>l1020220506031500</t>
  </si>
  <si>
    <t>l1020220506033000</t>
  </si>
  <si>
    <t>l1020220506034500</t>
  </si>
  <si>
    <t>l1020220506040000</t>
  </si>
  <si>
    <t>l1020220506041500</t>
  </si>
  <si>
    <t>l1020220506043000</t>
  </si>
  <si>
    <t>l1020220506044500</t>
  </si>
  <si>
    <t>l1020220506050000</t>
  </si>
  <si>
    <t>l1020220506051500</t>
  </si>
  <si>
    <t>l1020220506053000</t>
  </si>
  <si>
    <t>l1020220506054500</t>
  </si>
  <si>
    <t>l1020220506060000</t>
  </si>
  <si>
    <t>l1220220505060000</t>
  </si>
  <si>
    <t>l1220220505061500</t>
  </si>
  <si>
    <t>l1220220505063000</t>
  </si>
  <si>
    <t>l1220220505064500</t>
  </si>
  <si>
    <t>l1220220505070000</t>
  </si>
  <si>
    <t>l1220220505071500</t>
  </si>
  <si>
    <t>l1220220505073000</t>
  </si>
  <si>
    <t>l1220220505074500</t>
  </si>
  <si>
    <t>l1220220505080000</t>
  </si>
  <si>
    <t>l1220220505081500</t>
  </si>
  <si>
    <t>l1220220505083000</t>
  </si>
  <si>
    <t>l1220220505084500</t>
  </si>
  <si>
    <t>l1220220505090000</t>
  </si>
  <si>
    <t>l1220220505091500</t>
  </si>
  <si>
    <t>l1220220505093000</t>
  </si>
  <si>
    <t>l1220220505094500</t>
  </si>
  <si>
    <t>l1220220505100000</t>
  </si>
  <si>
    <t>l1220220505101500</t>
  </si>
  <si>
    <t>l1220220505103000</t>
  </si>
  <si>
    <t>l1220220505104500</t>
  </si>
  <si>
    <t>l1220220505110000</t>
  </si>
  <si>
    <t>l1220220505111500</t>
  </si>
  <si>
    <t>l1220220505113000</t>
  </si>
  <si>
    <t>l1220220505114500</t>
  </si>
  <si>
    <t>l1220220505120000</t>
  </si>
  <si>
    <t>l1220220505121500</t>
  </si>
  <si>
    <t>l1220220505123000</t>
  </si>
  <si>
    <t>l1220220505124500</t>
  </si>
  <si>
    <t>l1220220505130000</t>
  </si>
  <si>
    <t>l1220220505131500</t>
  </si>
  <si>
    <t>l1220220505133000</t>
  </si>
  <si>
    <t>l1220220505134500</t>
  </si>
  <si>
    <t>l1220220505140000</t>
  </si>
  <si>
    <t>l1220220505141500</t>
  </si>
  <si>
    <t>l1220220505143000</t>
  </si>
  <si>
    <t>l1220220505144500</t>
  </si>
  <si>
    <t>l1220220505150000</t>
  </si>
  <si>
    <t>l1220220505151500</t>
  </si>
  <si>
    <t>l1220220505153000</t>
  </si>
  <si>
    <t>l1220220505154500</t>
  </si>
  <si>
    <t>l1220220505160000</t>
  </si>
  <si>
    <t>l1220220505161500</t>
  </si>
  <si>
    <t>l1220220505163000</t>
  </si>
  <si>
    <t>l1220220505164500</t>
  </si>
  <si>
    <t>l1220220505170000</t>
  </si>
  <si>
    <t>l1220220505171500</t>
  </si>
  <si>
    <t>l1220220505173000</t>
  </si>
  <si>
    <t>l1220220505174500</t>
  </si>
  <si>
    <t>l1220220505180000</t>
  </si>
  <si>
    <t>l1220220505181500</t>
  </si>
  <si>
    <t>l1220220505183000</t>
  </si>
  <si>
    <t>l1220220505184500</t>
  </si>
  <si>
    <t>l1220220505190000</t>
  </si>
  <si>
    <t>l1220220505191500</t>
  </si>
  <si>
    <t>l1220220505193000</t>
  </si>
  <si>
    <t>l1220220505194500</t>
  </si>
  <si>
    <t>l1220220505200000</t>
  </si>
  <si>
    <t>l1220220505201500</t>
  </si>
  <si>
    <t>l1220220505203000</t>
  </si>
  <si>
    <t>l1220220505204500</t>
  </si>
  <si>
    <t>l1220220505210000</t>
  </si>
  <si>
    <t>l1220220505211500</t>
  </si>
  <si>
    <t>l1220220505213000</t>
  </si>
  <si>
    <t>l1220220505214500</t>
  </si>
  <si>
    <t>l1220220505220000</t>
  </si>
  <si>
    <t>l1220220505221500</t>
  </si>
  <si>
    <t>l1220220505223000</t>
  </si>
  <si>
    <t>l1220220505224500</t>
  </si>
  <si>
    <t>l1220220505230000</t>
  </si>
  <si>
    <t>l1220220505231500</t>
  </si>
  <si>
    <t>l1220220505233000</t>
  </si>
  <si>
    <t>l1220220505234500</t>
  </si>
  <si>
    <t>l1220220506000000</t>
  </si>
  <si>
    <t>l1220220506001500</t>
  </si>
  <si>
    <t>l1220220506003000</t>
  </si>
  <si>
    <t>l1220220506004500</t>
  </si>
  <si>
    <t>l1220220506010000</t>
  </si>
  <si>
    <t>l1220220506011500</t>
  </si>
  <si>
    <t>l1220220506013000</t>
  </si>
  <si>
    <t>l1220220506014500</t>
  </si>
  <si>
    <t>l1220220506020000</t>
  </si>
  <si>
    <t>l1220220506021500</t>
  </si>
  <si>
    <t>l1220220506023000</t>
  </si>
  <si>
    <t>l1220220506024500</t>
  </si>
  <si>
    <t>l1220220506030000</t>
  </si>
  <si>
    <t>l1220220506031500</t>
  </si>
  <si>
    <t>l1220220506033000</t>
  </si>
  <si>
    <t>l1220220506034500</t>
  </si>
  <si>
    <t>l1220220506040000</t>
  </si>
  <si>
    <t>l1220220506041500</t>
  </si>
  <si>
    <t>l1220220506043000</t>
  </si>
  <si>
    <t>l1220220506044500</t>
  </si>
  <si>
    <t>l1220220506050000</t>
  </si>
  <si>
    <t>l1220220506051500</t>
  </si>
  <si>
    <t>l1220220506053000</t>
  </si>
  <si>
    <t>l1220220506054500</t>
  </si>
  <si>
    <t>l1220220506060000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</si>
</sst>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 dd/mm/yyyy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0" fontId="0" fillId="0" borderId="0" xfId="0" applyNumberFormat="1"/>
    <xf numFmtId="0" fontId="0" fillId="0" borderId="0" xfId="0" applyAlignment="1">
      <alignment horizontal="center" vertical="center"/>
    </xf>
    <xf numFmtId="164" fontId="3" fillId="0" borderId="0" xfId="0" applyNumberFormat="1" applyFont="1"/>
    <xf numFmtId="165" fontId="0" fillId="0" borderId="0" xfId="0" applyNumberForma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23"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6" formatCode="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1.xml"/><Relationship Id="rId13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styles" Target="styles.xml"/><Relationship Id="rId5" Type="http://schemas.openxmlformats.org/officeDocument/2006/relationships/chartsheet" Target="chartsheets/sheet5.xml"/><Relationship Id="rId10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EN1606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Data!$T$4</c:f>
              <c:strCache>
                <c:ptCount val="1"/>
                <c:pt idx="0">
                  <c:v>EN1606-Room probe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Data!$T$5:$T$101</c:f>
              <c:numCache>
                <c:formatCode>0.0</c:formatCode>
                <c:ptCount val="97"/>
                <c:pt idx="0">
                  <c:v>29.799999237060547</c:v>
                </c:pt>
                <c:pt idx="1">
                  <c:v>30</c:v>
                </c:pt>
                <c:pt idx="2">
                  <c:v>30.200000762939453</c:v>
                </c:pt>
                <c:pt idx="3">
                  <c:v>30.200000762939453</c:v>
                </c:pt>
                <c:pt idx="4">
                  <c:v>30</c:v>
                </c:pt>
                <c:pt idx="5">
                  <c:v>29.799999237060547</c:v>
                </c:pt>
                <c:pt idx="6">
                  <c:v>29.799999237060547</c:v>
                </c:pt>
                <c:pt idx="7">
                  <c:v>30.200000762939453</c:v>
                </c:pt>
                <c:pt idx="8">
                  <c:v>30.399999618530273</c:v>
                </c:pt>
                <c:pt idx="9">
                  <c:v>30.399999618530273</c:v>
                </c:pt>
                <c:pt idx="10">
                  <c:v>30.200000762939453</c:v>
                </c:pt>
                <c:pt idx="11">
                  <c:v>30</c:v>
                </c:pt>
                <c:pt idx="12">
                  <c:v>29.799999237060547</c:v>
                </c:pt>
                <c:pt idx="13">
                  <c:v>30</c:v>
                </c:pt>
                <c:pt idx="14">
                  <c:v>30.200000762939453</c:v>
                </c:pt>
                <c:pt idx="15">
                  <c:v>30.200000762939453</c:v>
                </c:pt>
                <c:pt idx="16">
                  <c:v>30</c:v>
                </c:pt>
                <c:pt idx="17">
                  <c:v>29.799999237060547</c:v>
                </c:pt>
                <c:pt idx="18">
                  <c:v>29.799999237060547</c:v>
                </c:pt>
                <c:pt idx="19">
                  <c:v>30.200000762939453</c:v>
                </c:pt>
                <c:pt idx="20">
                  <c:v>30.399999618530273</c:v>
                </c:pt>
                <c:pt idx="21">
                  <c:v>30.399999618530273</c:v>
                </c:pt>
                <c:pt idx="22">
                  <c:v>30.200000762939453</c:v>
                </c:pt>
                <c:pt idx="23">
                  <c:v>30</c:v>
                </c:pt>
                <c:pt idx="24">
                  <c:v>29.799999237060547</c:v>
                </c:pt>
                <c:pt idx="25">
                  <c:v>29.799999237060547</c:v>
                </c:pt>
                <c:pt idx="26">
                  <c:v>30.200000762939453</c:v>
                </c:pt>
                <c:pt idx="27">
                  <c:v>30.200000762939453</c:v>
                </c:pt>
                <c:pt idx="28">
                  <c:v>30.200000762939453</c:v>
                </c:pt>
                <c:pt idx="29">
                  <c:v>30</c:v>
                </c:pt>
                <c:pt idx="30">
                  <c:v>29.799999237060547</c:v>
                </c:pt>
                <c:pt idx="31">
                  <c:v>30.200000762939453</c:v>
                </c:pt>
                <c:pt idx="32">
                  <c:v>30.200000762939453</c:v>
                </c:pt>
                <c:pt idx="33">
                  <c:v>30.200000762939453</c:v>
                </c:pt>
                <c:pt idx="34">
                  <c:v>30</c:v>
                </c:pt>
                <c:pt idx="35">
                  <c:v>30</c:v>
                </c:pt>
                <c:pt idx="36">
                  <c:v>29.799999237060547</c:v>
                </c:pt>
                <c:pt idx="37">
                  <c:v>30.200000762939453</c:v>
                </c:pt>
                <c:pt idx="38">
                  <c:v>30.399999618530273</c:v>
                </c:pt>
                <c:pt idx="39">
                  <c:v>30.399999618530273</c:v>
                </c:pt>
                <c:pt idx="40">
                  <c:v>30.200000762939453</c:v>
                </c:pt>
                <c:pt idx="41">
                  <c:v>30</c:v>
                </c:pt>
                <c:pt idx="42">
                  <c:v>29.799999237060547</c:v>
                </c:pt>
                <c:pt idx="43">
                  <c:v>30</c:v>
                </c:pt>
                <c:pt idx="44">
                  <c:v>30.399999618530273</c:v>
                </c:pt>
                <c:pt idx="45">
                  <c:v>30.399999618530273</c:v>
                </c:pt>
                <c:pt idx="46">
                  <c:v>30</c:v>
                </c:pt>
                <c:pt idx="47">
                  <c:v>29.799999237060547</c:v>
                </c:pt>
                <c:pt idx="48">
                  <c:v>30</c:v>
                </c:pt>
                <c:pt idx="49">
                  <c:v>30.200000762939453</c:v>
                </c:pt>
                <c:pt idx="50">
                  <c:v>30.200000762939453</c:v>
                </c:pt>
                <c:pt idx="51">
                  <c:v>30</c:v>
                </c:pt>
                <c:pt idx="52">
                  <c:v>29.799999237060547</c:v>
                </c:pt>
                <c:pt idx="53">
                  <c:v>30.200000762939453</c:v>
                </c:pt>
                <c:pt idx="54">
                  <c:v>30.399999618530273</c:v>
                </c:pt>
                <c:pt idx="55">
                  <c:v>30.399999618530273</c:v>
                </c:pt>
                <c:pt idx="56">
                  <c:v>30.200000762939453</c:v>
                </c:pt>
                <c:pt idx="57">
                  <c:v>30</c:v>
                </c:pt>
                <c:pt idx="58">
                  <c:v>29.799999237060547</c:v>
                </c:pt>
                <c:pt idx="59">
                  <c:v>30</c:v>
                </c:pt>
                <c:pt idx="60">
                  <c:v>30.399999618530273</c:v>
                </c:pt>
                <c:pt idx="61">
                  <c:v>30.399999618530273</c:v>
                </c:pt>
                <c:pt idx="62">
                  <c:v>30.399999618530273</c:v>
                </c:pt>
                <c:pt idx="63">
                  <c:v>30</c:v>
                </c:pt>
                <c:pt idx="64">
                  <c:v>29.799999237060547</c:v>
                </c:pt>
                <c:pt idx="65">
                  <c:v>30</c:v>
                </c:pt>
                <c:pt idx="66">
                  <c:v>30.200000762939453</c:v>
                </c:pt>
                <c:pt idx="67">
                  <c:v>30.399999618530273</c:v>
                </c:pt>
                <c:pt idx="68">
                  <c:v>30.200000762939453</c:v>
                </c:pt>
                <c:pt idx="69">
                  <c:v>30</c:v>
                </c:pt>
                <c:pt idx="70">
                  <c:v>29.799999237060547</c:v>
                </c:pt>
                <c:pt idx="71">
                  <c:v>30</c:v>
                </c:pt>
                <c:pt idx="72">
                  <c:v>30.399999618530273</c:v>
                </c:pt>
                <c:pt idx="73">
                  <c:v>30.399999618530273</c:v>
                </c:pt>
                <c:pt idx="74">
                  <c:v>30.200000762939453</c:v>
                </c:pt>
                <c:pt idx="75">
                  <c:v>30</c:v>
                </c:pt>
                <c:pt idx="76">
                  <c:v>29.799999237060547</c:v>
                </c:pt>
                <c:pt idx="77">
                  <c:v>30</c:v>
                </c:pt>
                <c:pt idx="78">
                  <c:v>30.399999618530273</c:v>
                </c:pt>
                <c:pt idx="79">
                  <c:v>30.399999618530273</c:v>
                </c:pt>
                <c:pt idx="80">
                  <c:v>30.200000762939453</c:v>
                </c:pt>
                <c:pt idx="81">
                  <c:v>30</c:v>
                </c:pt>
                <c:pt idx="82">
                  <c:v>29.799999237060547</c:v>
                </c:pt>
                <c:pt idx="83">
                  <c:v>30</c:v>
                </c:pt>
                <c:pt idx="84">
                  <c:v>30.399999618530273</c:v>
                </c:pt>
                <c:pt idx="85">
                  <c:v>30.399999618530273</c:v>
                </c:pt>
                <c:pt idx="86">
                  <c:v>30.200000762939453</c:v>
                </c:pt>
                <c:pt idx="87">
                  <c:v>30</c:v>
                </c:pt>
                <c:pt idx="88">
                  <c:v>29.799999237060547</c:v>
                </c:pt>
                <c:pt idx="89">
                  <c:v>30</c:v>
                </c:pt>
                <c:pt idx="90">
                  <c:v>30.399999618530273</c:v>
                </c:pt>
                <c:pt idx="91">
                  <c:v>30.399999618530273</c:v>
                </c:pt>
                <c:pt idx="92">
                  <c:v>30.200000762939453</c:v>
                </c:pt>
                <c:pt idx="93">
                  <c:v>29.799999237060547</c:v>
                </c:pt>
                <c:pt idx="94">
                  <c:v>29.799999237060547</c:v>
                </c:pt>
                <c:pt idx="95">
                  <c:v>30.200000762939453</c:v>
                </c:pt>
                <c:pt idx="96">
                  <c:v>30.399999618530273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4C-443E-937B-D829DFD6F046}"/>
            </c:ext>
          </c:extLst>
        </c:ser>
        <c:ser>
          <c:idx val="1"/>
          <c:order val="1"/>
          <c:tx>
            <c:strRef>
              <c:f>Data!$U$4</c:f>
              <c:strCache>
                <c:ptCount val="1"/>
                <c:pt idx="0">
                  <c:v>EN1606 Lower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Data!$U$5:$U$101</c:f>
              <c:numCache>
                <c:formatCode>0.0</c:formatCode>
                <c:ptCount val="97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29</c:v>
                </c:pt>
                <c:pt idx="31">
                  <c:v>29</c:v>
                </c:pt>
                <c:pt idx="32">
                  <c:v>29</c:v>
                </c:pt>
                <c:pt idx="33">
                  <c:v>29</c:v>
                </c:pt>
                <c:pt idx="34">
                  <c:v>29</c:v>
                </c:pt>
                <c:pt idx="35">
                  <c:v>29</c:v>
                </c:pt>
                <c:pt idx="36">
                  <c:v>29</c:v>
                </c:pt>
                <c:pt idx="37">
                  <c:v>29</c:v>
                </c:pt>
                <c:pt idx="38">
                  <c:v>29</c:v>
                </c:pt>
                <c:pt idx="39">
                  <c:v>29</c:v>
                </c:pt>
                <c:pt idx="40">
                  <c:v>29</c:v>
                </c:pt>
                <c:pt idx="41">
                  <c:v>29</c:v>
                </c:pt>
                <c:pt idx="42">
                  <c:v>29</c:v>
                </c:pt>
                <c:pt idx="43">
                  <c:v>29</c:v>
                </c:pt>
                <c:pt idx="44">
                  <c:v>29</c:v>
                </c:pt>
                <c:pt idx="45">
                  <c:v>29</c:v>
                </c:pt>
                <c:pt idx="46">
                  <c:v>29</c:v>
                </c:pt>
                <c:pt idx="47">
                  <c:v>29</c:v>
                </c:pt>
                <c:pt idx="48">
                  <c:v>29</c:v>
                </c:pt>
                <c:pt idx="49">
                  <c:v>29</c:v>
                </c:pt>
                <c:pt idx="50">
                  <c:v>29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29</c:v>
                </c:pt>
                <c:pt idx="62">
                  <c:v>29</c:v>
                </c:pt>
                <c:pt idx="63">
                  <c:v>29</c:v>
                </c:pt>
                <c:pt idx="64">
                  <c:v>29</c:v>
                </c:pt>
                <c:pt idx="65">
                  <c:v>29</c:v>
                </c:pt>
                <c:pt idx="66">
                  <c:v>29</c:v>
                </c:pt>
                <c:pt idx="67">
                  <c:v>29</c:v>
                </c:pt>
                <c:pt idx="68">
                  <c:v>29</c:v>
                </c:pt>
                <c:pt idx="69">
                  <c:v>29</c:v>
                </c:pt>
                <c:pt idx="70">
                  <c:v>29</c:v>
                </c:pt>
                <c:pt idx="71">
                  <c:v>29</c:v>
                </c:pt>
                <c:pt idx="72">
                  <c:v>29</c:v>
                </c:pt>
                <c:pt idx="73">
                  <c:v>29</c:v>
                </c:pt>
                <c:pt idx="74">
                  <c:v>29</c:v>
                </c:pt>
                <c:pt idx="75">
                  <c:v>29</c:v>
                </c:pt>
                <c:pt idx="76">
                  <c:v>29</c:v>
                </c:pt>
                <c:pt idx="77">
                  <c:v>29</c:v>
                </c:pt>
                <c:pt idx="78">
                  <c:v>29</c:v>
                </c:pt>
                <c:pt idx="79">
                  <c:v>29</c:v>
                </c:pt>
                <c:pt idx="80">
                  <c:v>29</c:v>
                </c:pt>
                <c:pt idx="81">
                  <c:v>29</c:v>
                </c:pt>
                <c:pt idx="82">
                  <c:v>29</c:v>
                </c:pt>
                <c:pt idx="83">
                  <c:v>29</c:v>
                </c:pt>
                <c:pt idx="84">
                  <c:v>29</c:v>
                </c:pt>
                <c:pt idx="85">
                  <c:v>29</c:v>
                </c:pt>
                <c:pt idx="86">
                  <c:v>29</c:v>
                </c:pt>
                <c:pt idx="87">
                  <c:v>29</c:v>
                </c:pt>
                <c:pt idx="88">
                  <c:v>29</c:v>
                </c:pt>
                <c:pt idx="89">
                  <c:v>29</c:v>
                </c:pt>
                <c:pt idx="90">
                  <c:v>29</c:v>
                </c:pt>
                <c:pt idx="91">
                  <c:v>29</c:v>
                </c:pt>
                <c:pt idx="92">
                  <c:v>29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4C-443E-937B-D829DFD6F046}"/>
            </c:ext>
          </c:extLst>
        </c:ser>
        <c:ser>
          <c:idx val="2"/>
          <c:order val="2"/>
          <c:tx>
            <c:strRef>
              <c:f>Data!$V$4</c:f>
              <c:strCache>
                <c:ptCount val="1"/>
                <c:pt idx="0">
                  <c:v>EN1606 Higher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Data!$V$5:$V$101</c:f>
              <c:numCache>
                <c:formatCode>0.0</c:formatCode>
                <c:ptCount val="97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</c:v>
                </c:pt>
                <c:pt idx="39">
                  <c:v>31</c:v>
                </c:pt>
                <c:pt idx="40">
                  <c:v>31</c:v>
                </c:pt>
                <c:pt idx="41">
                  <c:v>31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31</c:v>
                </c:pt>
                <c:pt idx="67">
                  <c:v>31</c:v>
                </c:pt>
                <c:pt idx="68">
                  <c:v>31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31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31</c:v>
                </c:pt>
                <c:pt idx="89">
                  <c:v>31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</c:v>
                </c:pt>
                <c:pt idx="95">
                  <c:v>31</c:v>
                </c:pt>
                <c:pt idx="9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4C-443E-937B-D829DFD6F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428608"/>
        <c:axId val="77430144"/>
      </c:lineChart>
      <c:catAx>
        <c:axId val="77428608"/>
        <c:scaling>
          <c:orientation val="minMax"/>
        </c:scaling>
        <c:delete val="0"/>
        <c:axPos val="b"/>
        <c:majorGridlines/>
        <c:numFmt formatCode="ddd\ d\-mmm\ hh:mm" sourceLinked="0"/>
        <c:majorTickMark val="out"/>
        <c:minorTickMark val="in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7743014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77430144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77428608"/>
        <c:crosses val="autoZero"/>
        <c:crossBetween val="between"/>
      </c:valAx>
    </c:plotArea>
    <c:plotVisOnly val="0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EN1605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Data!$E$4</c:f>
              <c:strCache>
                <c:ptCount val="1"/>
                <c:pt idx="0">
                  <c:v>EN1605-Room probe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Data!$E$5:$E$101</c:f>
              <c:numCache>
                <c:formatCode>0.0</c:formatCode>
                <c:ptCount val="97"/>
                <c:pt idx="0">
                  <c:v>36.200000762939453</c:v>
                </c:pt>
                <c:pt idx="1">
                  <c:v>35.599998474121094</c:v>
                </c:pt>
                <c:pt idx="2">
                  <c:v>36.400001525878906</c:v>
                </c:pt>
                <c:pt idx="3">
                  <c:v>36.799999237060547</c:v>
                </c:pt>
                <c:pt idx="4">
                  <c:v>36.400001525878906</c:v>
                </c:pt>
                <c:pt idx="5">
                  <c:v>35.799999237060547</c:v>
                </c:pt>
                <c:pt idx="6">
                  <c:v>36</c:v>
                </c:pt>
                <c:pt idx="7">
                  <c:v>36.599998474121094</c:v>
                </c:pt>
                <c:pt idx="8">
                  <c:v>36.599998474121094</c:v>
                </c:pt>
                <c:pt idx="9">
                  <c:v>36</c:v>
                </c:pt>
                <c:pt idx="10">
                  <c:v>35.599998474121094</c:v>
                </c:pt>
                <c:pt idx="11">
                  <c:v>36.799999237060547</c:v>
                </c:pt>
                <c:pt idx="12">
                  <c:v>36.799999237060547</c:v>
                </c:pt>
                <c:pt idx="13">
                  <c:v>35.799999237060547</c:v>
                </c:pt>
                <c:pt idx="14">
                  <c:v>35.599998474121094</c:v>
                </c:pt>
                <c:pt idx="15">
                  <c:v>36.599998474121094</c:v>
                </c:pt>
                <c:pt idx="16">
                  <c:v>36</c:v>
                </c:pt>
                <c:pt idx="17">
                  <c:v>35.599998474121094</c:v>
                </c:pt>
                <c:pt idx="18">
                  <c:v>36.599998474121094</c:v>
                </c:pt>
                <c:pt idx="19">
                  <c:v>35.799999237060547</c:v>
                </c:pt>
                <c:pt idx="20">
                  <c:v>36</c:v>
                </c:pt>
                <c:pt idx="21">
                  <c:v>36.599998474121094</c:v>
                </c:pt>
                <c:pt idx="22">
                  <c:v>36</c:v>
                </c:pt>
                <c:pt idx="23">
                  <c:v>35.799999237060547</c:v>
                </c:pt>
                <c:pt idx="24">
                  <c:v>36.400001525878906</c:v>
                </c:pt>
                <c:pt idx="25">
                  <c:v>36</c:v>
                </c:pt>
                <c:pt idx="26">
                  <c:v>35.799999237060547</c:v>
                </c:pt>
                <c:pt idx="27">
                  <c:v>36.400001525878906</c:v>
                </c:pt>
                <c:pt idx="28">
                  <c:v>36.200000762939453</c:v>
                </c:pt>
                <c:pt idx="29">
                  <c:v>35.599998474121094</c:v>
                </c:pt>
                <c:pt idx="30">
                  <c:v>36.599998474121094</c:v>
                </c:pt>
                <c:pt idx="31">
                  <c:v>36.400001525878906</c:v>
                </c:pt>
                <c:pt idx="32">
                  <c:v>35.799999237060547</c:v>
                </c:pt>
                <c:pt idx="33">
                  <c:v>36</c:v>
                </c:pt>
                <c:pt idx="34">
                  <c:v>36.599998474121094</c:v>
                </c:pt>
                <c:pt idx="35">
                  <c:v>36.400001525878906</c:v>
                </c:pt>
                <c:pt idx="36">
                  <c:v>35.599998474121094</c:v>
                </c:pt>
                <c:pt idx="37">
                  <c:v>36.200000762939453</c:v>
                </c:pt>
                <c:pt idx="38">
                  <c:v>36.799999237060547</c:v>
                </c:pt>
                <c:pt idx="39">
                  <c:v>36.400001525878906</c:v>
                </c:pt>
                <c:pt idx="40">
                  <c:v>35.400001525878906</c:v>
                </c:pt>
                <c:pt idx="41">
                  <c:v>36.200000762939453</c:v>
                </c:pt>
                <c:pt idx="42">
                  <c:v>36.400001525878906</c:v>
                </c:pt>
                <c:pt idx="43">
                  <c:v>36</c:v>
                </c:pt>
                <c:pt idx="44">
                  <c:v>35.599998474121094</c:v>
                </c:pt>
                <c:pt idx="45">
                  <c:v>36.400001525878906</c:v>
                </c:pt>
                <c:pt idx="46">
                  <c:v>36.200000762939453</c:v>
                </c:pt>
                <c:pt idx="47">
                  <c:v>35.599998474121094</c:v>
                </c:pt>
                <c:pt idx="48">
                  <c:v>36.200000762939453</c:v>
                </c:pt>
                <c:pt idx="49">
                  <c:v>36.200000762939453</c:v>
                </c:pt>
                <c:pt idx="50">
                  <c:v>35.799999237060547</c:v>
                </c:pt>
                <c:pt idx="51">
                  <c:v>36</c:v>
                </c:pt>
                <c:pt idx="52">
                  <c:v>36.400001525878906</c:v>
                </c:pt>
                <c:pt idx="53">
                  <c:v>35.599998474121094</c:v>
                </c:pt>
                <c:pt idx="54">
                  <c:v>35.799999237060547</c:v>
                </c:pt>
                <c:pt idx="55">
                  <c:v>36.200000762939453</c:v>
                </c:pt>
                <c:pt idx="56">
                  <c:v>35.599998474121094</c:v>
                </c:pt>
                <c:pt idx="57">
                  <c:v>36.400001525878906</c:v>
                </c:pt>
                <c:pt idx="58">
                  <c:v>36.400001525878906</c:v>
                </c:pt>
                <c:pt idx="59">
                  <c:v>35.799999237060547</c:v>
                </c:pt>
                <c:pt idx="60">
                  <c:v>36</c:v>
                </c:pt>
                <c:pt idx="61">
                  <c:v>36.400001525878906</c:v>
                </c:pt>
                <c:pt idx="62">
                  <c:v>36.200000762939453</c:v>
                </c:pt>
                <c:pt idx="63">
                  <c:v>35.599998474121094</c:v>
                </c:pt>
                <c:pt idx="64">
                  <c:v>36.400001525878906</c:v>
                </c:pt>
                <c:pt idx="65">
                  <c:v>36.400001525878906</c:v>
                </c:pt>
                <c:pt idx="66">
                  <c:v>35.799999237060547</c:v>
                </c:pt>
                <c:pt idx="67">
                  <c:v>36</c:v>
                </c:pt>
                <c:pt idx="68">
                  <c:v>36.400001525878906</c:v>
                </c:pt>
                <c:pt idx="69">
                  <c:v>36.200000762939453</c:v>
                </c:pt>
                <c:pt idx="70">
                  <c:v>35.599998474121094</c:v>
                </c:pt>
                <c:pt idx="71">
                  <c:v>36.400001525878906</c:v>
                </c:pt>
                <c:pt idx="72">
                  <c:v>36.400001525878906</c:v>
                </c:pt>
                <c:pt idx="73">
                  <c:v>36</c:v>
                </c:pt>
                <c:pt idx="74">
                  <c:v>35.799999237060547</c:v>
                </c:pt>
                <c:pt idx="75">
                  <c:v>36.400001525878906</c:v>
                </c:pt>
                <c:pt idx="76">
                  <c:v>36.200000762939453</c:v>
                </c:pt>
                <c:pt idx="77">
                  <c:v>35.799999237060547</c:v>
                </c:pt>
                <c:pt idx="78">
                  <c:v>36.200000762939453</c:v>
                </c:pt>
                <c:pt idx="79">
                  <c:v>36.400001525878906</c:v>
                </c:pt>
                <c:pt idx="80">
                  <c:v>36.200000762939453</c:v>
                </c:pt>
                <c:pt idx="81">
                  <c:v>35.599998474121094</c:v>
                </c:pt>
                <c:pt idx="82">
                  <c:v>36.400001525878906</c:v>
                </c:pt>
                <c:pt idx="83">
                  <c:v>36.400001525878906</c:v>
                </c:pt>
                <c:pt idx="84">
                  <c:v>36</c:v>
                </c:pt>
                <c:pt idx="85">
                  <c:v>36</c:v>
                </c:pt>
                <c:pt idx="86">
                  <c:v>36.400001525878906</c:v>
                </c:pt>
                <c:pt idx="87">
                  <c:v>36.200000762939453</c:v>
                </c:pt>
                <c:pt idx="88">
                  <c:v>35.799999237060547</c:v>
                </c:pt>
                <c:pt idx="89">
                  <c:v>36.200000762939453</c:v>
                </c:pt>
                <c:pt idx="90">
                  <c:v>36.400001525878906</c:v>
                </c:pt>
                <c:pt idx="91">
                  <c:v>36.200000762939453</c:v>
                </c:pt>
                <c:pt idx="92">
                  <c:v>35.599998474121094</c:v>
                </c:pt>
                <c:pt idx="93">
                  <c:v>36.200000762939453</c:v>
                </c:pt>
                <c:pt idx="94">
                  <c:v>35.799999237060547</c:v>
                </c:pt>
                <c:pt idx="95">
                  <c:v>36.200000762939453</c:v>
                </c:pt>
                <c:pt idx="96">
                  <c:v>36.400001525878906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FF-4A17-A6B2-C8958B330B54}"/>
            </c:ext>
          </c:extLst>
        </c:ser>
        <c:ser>
          <c:idx val="1"/>
          <c:order val="1"/>
          <c:tx>
            <c:strRef>
              <c:f>Data!$F$4</c:f>
              <c:strCache>
                <c:ptCount val="1"/>
                <c:pt idx="0">
                  <c:v>EN1605 Lower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Data!$F$5:$F$101</c:f>
              <c:numCache>
                <c:formatCode>0.0</c:formatCode>
                <c:ptCount val="97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35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</c:v>
                </c:pt>
                <c:pt idx="39">
                  <c:v>35</c:v>
                </c:pt>
                <c:pt idx="40">
                  <c:v>35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</c:v>
                </c:pt>
                <c:pt idx="49">
                  <c:v>35</c:v>
                </c:pt>
                <c:pt idx="50">
                  <c:v>35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</c:v>
                </c:pt>
                <c:pt idx="55">
                  <c:v>35</c:v>
                </c:pt>
                <c:pt idx="56">
                  <c:v>35</c:v>
                </c:pt>
                <c:pt idx="57">
                  <c:v>35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35</c:v>
                </c:pt>
                <c:pt idx="79">
                  <c:v>35</c:v>
                </c:pt>
                <c:pt idx="80">
                  <c:v>35</c:v>
                </c:pt>
                <c:pt idx="81">
                  <c:v>35</c:v>
                </c:pt>
                <c:pt idx="82">
                  <c:v>35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35</c:v>
                </c:pt>
                <c:pt idx="91">
                  <c:v>35</c:v>
                </c:pt>
                <c:pt idx="92">
                  <c:v>35</c:v>
                </c:pt>
                <c:pt idx="93">
                  <c:v>35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FF-4A17-A6B2-C8958B330B54}"/>
            </c:ext>
          </c:extLst>
        </c:ser>
        <c:ser>
          <c:idx val="2"/>
          <c:order val="2"/>
          <c:tx>
            <c:strRef>
              <c:f>Data!$G$4</c:f>
              <c:strCache>
                <c:ptCount val="1"/>
                <c:pt idx="0">
                  <c:v>EN1605 Higher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Data!$G$5:$G$101</c:f>
              <c:numCache>
                <c:formatCode>0.0</c:formatCode>
                <c:ptCount val="97"/>
                <c:pt idx="0">
                  <c:v>37</c:v>
                </c:pt>
                <c:pt idx="1">
                  <c:v>37</c:v>
                </c:pt>
                <c:pt idx="2">
                  <c:v>37</c:v>
                </c:pt>
                <c:pt idx="3">
                  <c:v>37</c:v>
                </c:pt>
                <c:pt idx="4">
                  <c:v>37</c:v>
                </c:pt>
                <c:pt idx="5">
                  <c:v>37</c:v>
                </c:pt>
                <c:pt idx="6">
                  <c:v>37</c:v>
                </c:pt>
                <c:pt idx="7">
                  <c:v>37</c:v>
                </c:pt>
                <c:pt idx="8">
                  <c:v>37</c:v>
                </c:pt>
                <c:pt idx="9">
                  <c:v>37</c:v>
                </c:pt>
                <c:pt idx="10">
                  <c:v>37</c:v>
                </c:pt>
                <c:pt idx="11">
                  <c:v>37</c:v>
                </c:pt>
                <c:pt idx="12">
                  <c:v>37</c:v>
                </c:pt>
                <c:pt idx="13">
                  <c:v>37</c:v>
                </c:pt>
                <c:pt idx="14">
                  <c:v>37</c:v>
                </c:pt>
                <c:pt idx="15">
                  <c:v>37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37</c:v>
                </c:pt>
                <c:pt idx="20">
                  <c:v>37</c:v>
                </c:pt>
                <c:pt idx="21">
                  <c:v>37</c:v>
                </c:pt>
                <c:pt idx="22">
                  <c:v>37</c:v>
                </c:pt>
                <c:pt idx="23">
                  <c:v>37</c:v>
                </c:pt>
                <c:pt idx="24">
                  <c:v>37</c:v>
                </c:pt>
                <c:pt idx="25">
                  <c:v>37</c:v>
                </c:pt>
                <c:pt idx="26">
                  <c:v>37</c:v>
                </c:pt>
                <c:pt idx="27">
                  <c:v>37</c:v>
                </c:pt>
                <c:pt idx="28">
                  <c:v>37</c:v>
                </c:pt>
                <c:pt idx="29">
                  <c:v>37</c:v>
                </c:pt>
                <c:pt idx="30">
                  <c:v>37</c:v>
                </c:pt>
                <c:pt idx="31">
                  <c:v>37</c:v>
                </c:pt>
                <c:pt idx="32">
                  <c:v>37</c:v>
                </c:pt>
                <c:pt idx="33">
                  <c:v>37</c:v>
                </c:pt>
                <c:pt idx="34">
                  <c:v>37</c:v>
                </c:pt>
                <c:pt idx="35">
                  <c:v>37</c:v>
                </c:pt>
                <c:pt idx="36">
                  <c:v>37</c:v>
                </c:pt>
                <c:pt idx="37">
                  <c:v>37</c:v>
                </c:pt>
                <c:pt idx="38">
                  <c:v>37</c:v>
                </c:pt>
                <c:pt idx="39">
                  <c:v>37</c:v>
                </c:pt>
                <c:pt idx="40">
                  <c:v>37</c:v>
                </c:pt>
                <c:pt idx="41">
                  <c:v>37</c:v>
                </c:pt>
                <c:pt idx="42">
                  <c:v>37</c:v>
                </c:pt>
                <c:pt idx="43">
                  <c:v>37</c:v>
                </c:pt>
                <c:pt idx="44">
                  <c:v>37</c:v>
                </c:pt>
                <c:pt idx="45">
                  <c:v>37</c:v>
                </c:pt>
                <c:pt idx="46">
                  <c:v>37</c:v>
                </c:pt>
                <c:pt idx="47">
                  <c:v>37</c:v>
                </c:pt>
                <c:pt idx="48">
                  <c:v>37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37</c:v>
                </c:pt>
                <c:pt idx="53">
                  <c:v>37</c:v>
                </c:pt>
                <c:pt idx="54">
                  <c:v>37</c:v>
                </c:pt>
                <c:pt idx="55">
                  <c:v>37</c:v>
                </c:pt>
                <c:pt idx="56">
                  <c:v>37</c:v>
                </c:pt>
                <c:pt idx="57">
                  <c:v>37</c:v>
                </c:pt>
                <c:pt idx="58">
                  <c:v>37</c:v>
                </c:pt>
                <c:pt idx="59">
                  <c:v>37</c:v>
                </c:pt>
                <c:pt idx="60">
                  <c:v>37</c:v>
                </c:pt>
                <c:pt idx="61">
                  <c:v>37</c:v>
                </c:pt>
                <c:pt idx="62">
                  <c:v>37</c:v>
                </c:pt>
                <c:pt idx="63">
                  <c:v>37</c:v>
                </c:pt>
                <c:pt idx="64">
                  <c:v>37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</c:v>
                </c:pt>
                <c:pt idx="71">
                  <c:v>37</c:v>
                </c:pt>
                <c:pt idx="72">
                  <c:v>37</c:v>
                </c:pt>
                <c:pt idx="73">
                  <c:v>37</c:v>
                </c:pt>
                <c:pt idx="74">
                  <c:v>37</c:v>
                </c:pt>
                <c:pt idx="75">
                  <c:v>37</c:v>
                </c:pt>
                <c:pt idx="76">
                  <c:v>37</c:v>
                </c:pt>
                <c:pt idx="77">
                  <c:v>37</c:v>
                </c:pt>
                <c:pt idx="78">
                  <c:v>37</c:v>
                </c:pt>
                <c:pt idx="79">
                  <c:v>37</c:v>
                </c:pt>
                <c:pt idx="80">
                  <c:v>37</c:v>
                </c:pt>
                <c:pt idx="81">
                  <c:v>37</c:v>
                </c:pt>
                <c:pt idx="82">
                  <c:v>37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37</c:v>
                </c:pt>
                <c:pt idx="87">
                  <c:v>37</c:v>
                </c:pt>
                <c:pt idx="88">
                  <c:v>37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</c:v>
                </c:pt>
                <c:pt idx="95">
                  <c:v>37</c:v>
                </c:pt>
                <c:pt idx="96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FF-4A17-A6B2-C8958B330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460992"/>
        <c:axId val="77462528"/>
      </c:lineChart>
      <c:catAx>
        <c:axId val="77460992"/>
        <c:scaling>
          <c:orientation val="minMax"/>
        </c:scaling>
        <c:delete val="0"/>
        <c:axPos val="b"/>
        <c:majorGridlines/>
        <c:numFmt formatCode="ddd\ d\-mmm\ hh:mm" sourceLinked="0"/>
        <c:majorTickMark val="out"/>
        <c:minorTickMark val="in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7746252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77462528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77460992"/>
        <c:crosses val="autoZero"/>
        <c:crossBetween val="between"/>
      </c:valAx>
    </c:plotArea>
    <c:plotVisOnly val="0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EN1604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Data!$B$4</c:f>
              <c:strCache>
                <c:ptCount val="1"/>
                <c:pt idx="0">
                  <c:v>EN1604-Room probe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Data!$B$5:$B$101</c:f>
              <c:numCache>
                <c:formatCode>0.0</c:formatCode>
                <c:ptCount val="97"/>
                <c:pt idx="0">
                  <c:v>37.5</c:v>
                </c:pt>
                <c:pt idx="1">
                  <c:v>37.299999237060547</c:v>
                </c:pt>
                <c:pt idx="2">
                  <c:v>37.5</c:v>
                </c:pt>
                <c:pt idx="3">
                  <c:v>37.099998474121094</c:v>
                </c:pt>
                <c:pt idx="4">
                  <c:v>37.700000762939453</c:v>
                </c:pt>
                <c:pt idx="5">
                  <c:v>37.299999237060547</c:v>
                </c:pt>
                <c:pt idx="6">
                  <c:v>37.5</c:v>
                </c:pt>
                <c:pt idx="7">
                  <c:v>37.5</c:v>
                </c:pt>
                <c:pt idx="8">
                  <c:v>37.5</c:v>
                </c:pt>
                <c:pt idx="9">
                  <c:v>37.5</c:v>
                </c:pt>
                <c:pt idx="10">
                  <c:v>37.299999237060547</c:v>
                </c:pt>
                <c:pt idx="11">
                  <c:v>37.700000762939453</c:v>
                </c:pt>
                <c:pt idx="12">
                  <c:v>37.299999237060547</c:v>
                </c:pt>
                <c:pt idx="13">
                  <c:v>37.5</c:v>
                </c:pt>
                <c:pt idx="14">
                  <c:v>37.5</c:v>
                </c:pt>
                <c:pt idx="15">
                  <c:v>37.5</c:v>
                </c:pt>
                <c:pt idx="16">
                  <c:v>37.5</c:v>
                </c:pt>
                <c:pt idx="17">
                  <c:v>37.299999237060547</c:v>
                </c:pt>
                <c:pt idx="18">
                  <c:v>37.700000762939453</c:v>
                </c:pt>
                <c:pt idx="19">
                  <c:v>37.299999237060547</c:v>
                </c:pt>
                <c:pt idx="20">
                  <c:v>37.5</c:v>
                </c:pt>
                <c:pt idx="21">
                  <c:v>37.5</c:v>
                </c:pt>
                <c:pt idx="22">
                  <c:v>37.5</c:v>
                </c:pt>
                <c:pt idx="23">
                  <c:v>37.5</c:v>
                </c:pt>
                <c:pt idx="24">
                  <c:v>37.5</c:v>
                </c:pt>
                <c:pt idx="25">
                  <c:v>37.299999237060547</c:v>
                </c:pt>
                <c:pt idx="26">
                  <c:v>37.700000762939453</c:v>
                </c:pt>
                <c:pt idx="27">
                  <c:v>37.299999237060547</c:v>
                </c:pt>
                <c:pt idx="28">
                  <c:v>37.5</c:v>
                </c:pt>
                <c:pt idx="29">
                  <c:v>37.099998474121094</c:v>
                </c:pt>
                <c:pt idx="30">
                  <c:v>37.700000762939453</c:v>
                </c:pt>
                <c:pt idx="31">
                  <c:v>37.099998474121094</c:v>
                </c:pt>
                <c:pt idx="32">
                  <c:v>37.700000762939453</c:v>
                </c:pt>
                <c:pt idx="33">
                  <c:v>37.099998474121094</c:v>
                </c:pt>
                <c:pt idx="34">
                  <c:v>37.700000762939453</c:v>
                </c:pt>
                <c:pt idx="35">
                  <c:v>37.099998474121094</c:v>
                </c:pt>
                <c:pt idx="36">
                  <c:v>37.900001525878906</c:v>
                </c:pt>
                <c:pt idx="37">
                  <c:v>37.5</c:v>
                </c:pt>
                <c:pt idx="38">
                  <c:v>37.5</c:v>
                </c:pt>
                <c:pt idx="39">
                  <c:v>37.5</c:v>
                </c:pt>
                <c:pt idx="40">
                  <c:v>37.5</c:v>
                </c:pt>
                <c:pt idx="41">
                  <c:v>37.099998474121094</c:v>
                </c:pt>
                <c:pt idx="42">
                  <c:v>37.700000762939453</c:v>
                </c:pt>
                <c:pt idx="43">
                  <c:v>37.299999237060547</c:v>
                </c:pt>
                <c:pt idx="44">
                  <c:v>37.700000762939453</c:v>
                </c:pt>
                <c:pt idx="45">
                  <c:v>37.299999237060547</c:v>
                </c:pt>
                <c:pt idx="46">
                  <c:v>37.5</c:v>
                </c:pt>
                <c:pt idx="47">
                  <c:v>37.099998474121094</c:v>
                </c:pt>
                <c:pt idx="48">
                  <c:v>37.700000762939453</c:v>
                </c:pt>
                <c:pt idx="49">
                  <c:v>37.299999237060547</c:v>
                </c:pt>
                <c:pt idx="50">
                  <c:v>37.700000762939453</c:v>
                </c:pt>
                <c:pt idx="51">
                  <c:v>37.099998474121094</c:v>
                </c:pt>
                <c:pt idx="52">
                  <c:v>37.700000762939453</c:v>
                </c:pt>
                <c:pt idx="53">
                  <c:v>37.099998474121094</c:v>
                </c:pt>
                <c:pt idx="54">
                  <c:v>36.900001525878906</c:v>
                </c:pt>
                <c:pt idx="55">
                  <c:v>37.5</c:v>
                </c:pt>
                <c:pt idx="56">
                  <c:v>37.099998474121094</c:v>
                </c:pt>
                <c:pt idx="57">
                  <c:v>37.5</c:v>
                </c:pt>
                <c:pt idx="58">
                  <c:v>37.099998474121094</c:v>
                </c:pt>
                <c:pt idx="59">
                  <c:v>37.5</c:v>
                </c:pt>
                <c:pt idx="60">
                  <c:v>37.299999237060547</c:v>
                </c:pt>
                <c:pt idx="61">
                  <c:v>37.5</c:v>
                </c:pt>
                <c:pt idx="62">
                  <c:v>37.5</c:v>
                </c:pt>
                <c:pt idx="63">
                  <c:v>37.299999237060547</c:v>
                </c:pt>
                <c:pt idx="64">
                  <c:v>37.5</c:v>
                </c:pt>
                <c:pt idx="65">
                  <c:v>37.099998474121094</c:v>
                </c:pt>
                <c:pt idx="66">
                  <c:v>37.5</c:v>
                </c:pt>
                <c:pt idx="67">
                  <c:v>37.099998474121094</c:v>
                </c:pt>
                <c:pt idx="68">
                  <c:v>37.5</c:v>
                </c:pt>
                <c:pt idx="69">
                  <c:v>37.099998474121094</c:v>
                </c:pt>
                <c:pt idx="70">
                  <c:v>37.5</c:v>
                </c:pt>
                <c:pt idx="71">
                  <c:v>37.099998474121094</c:v>
                </c:pt>
                <c:pt idx="72">
                  <c:v>37.700000762939453</c:v>
                </c:pt>
                <c:pt idx="73">
                  <c:v>37.299999237060547</c:v>
                </c:pt>
                <c:pt idx="74">
                  <c:v>37.5</c:v>
                </c:pt>
                <c:pt idx="75">
                  <c:v>37.299999237060547</c:v>
                </c:pt>
                <c:pt idx="76">
                  <c:v>37.5</c:v>
                </c:pt>
                <c:pt idx="77">
                  <c:v>37.299999237060547</c:v>
                </c:pt>
                <c:pt idx="78">
                  <c:v>37.700000762939453</c:v>
                </c:pt>
                <c:pt idx="79">
                  <c:v>37.299999237060547</c:v>
                </c:pt>
                <c:pt idx="80">
                  <c:v>37.700000762939453</c:v>
                </c:pt>
                <c:pt idx="81">
                  <c:v>37.299999237060547</c:v>
                </c:pt>
                <c:pt idx="82">
                  <c:v>37.700000762939453</c:v>
                </c:pt>
                <c:pt idx="83">
                  <c:v>37.299999237060547</c:v>
                </c:pt>
                <c:pt idx="84">
                  <c:v>37.700000762939453</c:v>
                </c:pt>
                <c:pt idx="85">
                  <c:v>37.299999237060547</c:v>
                </c:pt>
                <c:pt idx="86">
                  <c:v>37.5</c:v>
                </c:pt>
                <c:pt idx="87">
                  <c:v>37.5</c:v>
                </c:pt>
                <c:pt idx="88">
                  <c:v>37.5</c:v>
                </c:pt>
                <c:pt idx="89">
                  <c:v>37.5</c:v>
                </c:pt>
                <c:pt idx="90">
                  <c:v>37.5</c:v>
                </c:pt>
                <c:pt idx="91">
                  <c:v>37.5</c:v>
                </c:pt>
                <c:pt idx="92">
                  <c:v>37.299999237060547</c:v>
                </c:pt>
                <c:pt idx="93">
                  <c:v>37.5</c:v>
                </c:pt>
                <c:pt idx="94">
                  <c:v>37.299999237060547</c:v>
                </c:pt>
                <c:pt idx="95">
                  <c:v>37.5</c:v>
                </c:pt>
                <c:pt idx="96">
                  <c:v>37.299999237060547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D9-4C63-830D-CCC5660D4E87}"/>
            </c:ext>
          </c:extLst>
        </c:ser>
        <c:ser>
          <c:idx val="1"/>
          <c:order val="1"/>
          <c:tx>
            <c:strRef>
              <c:f>Data!$C$4</c:f>
              <c:strCache>
                <c:ptCount val="1"/>
                <c:pt idx="0">
                  <c:v>EN1604 Lower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Data!$C$5:$C$101</c:f>
              <c:numCache>
                <c:formatCode>0.0</c:formatCode>
                <c:ptCount val="97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</c:v>
                </c:pt>
                <c:pt idx="51">
                  <c:v>36</c:v>
                </c:pt>
                <c:pt idx="52">
                  <c:v>36</c:v>
                </c:pt>
                <c:pt idx="53">
                  <c:v>36</c:v>
                </c:pt>
                <c:pt idx="54">
                  <c:v>36</c:v>
                </c:pt>
                <c:pt idx="55">
                  <c:v>36</c:v>
                </c:pt>
                <c:pt idx="56">
                  <c:v>36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36</c:v>
                </c:pt>
                <c:pt idx="96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D9-4C63-830D-CCC5660D4E87}"/>
            </c:ext>
          </c:extLst>
        </c:ser>
        <c:ser>
          <c:idx val="2"/>
          <c:order val="2"/>
          <c:tx>
            <c:strRef>
              <c:f>Data!$D$4</c:f>
              <c:strCache>
                <c:ptCount val="1"/>
                <c:pt idx="0">
                  <c:v>EN1604 Higher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Data!$D$5:$D$101</c:f>
              <c:numCache>
                <c:formatCode>0.0</c:formatCode>
                <c:ptCount val="97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  <c:pt idx="9">
                  <c:v>38</c:v>
                </c:pt>
                <c:pt idx="10">
                  <c:v>38</c:v>
                </c:pt>
                <c:pt idx="11">
                  <c:v>38</c:v>
                </c:pt>
                <c:pt idx="12">
                  <c:v>38</c:v>
                </c:pt>
                <c:pt idx="13">
                  <c:v>38</c:v>
                </c:pt>
                <c:pt idx="14">
                  <c:v>38</c:v>
                </c:pt>
                <c:pt idx="15">
                  <c:v>38</c:v>
                </c:pt>
                <c:pt idx="16">
                  <c:v>38</c:v>
                </c:pt>
                <c:pt idx="17">
                  <c:v>38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38</c:v>
                </c:pt>
                <c:pt idx="22">
                  <c:v>38</c:v>
                </c:pt>
                <c:pt idx="23">
                  <c:v>38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</c:v>
                </c:pt>
                <c:pt idx="35">
                  <c:v>38</c:v>
                </c:pt>
                <c:pt idx="36">
                  <c:v>38</c:v>
                </c:pt>
                <c:pt idx="37">
                  <c:v>38</c:v>
                </c:pt>
                <c:pt idx="38">
                  <c:v>38</c:v>
                </c:pt>
                <c:pt idx="39">
                  <c:v>38</c:v>
                </c:pt>
                <c:pt idx="40">
                  <c:v>38</c:v>
                </c:pt>
                <c:pt idx="41">
                  <c:v>38</c:v>
                </c:pt>
                <c:pt idx="42">
                  <c:v>38</c:v>
                </c:pt>
                <c:pt idx="43">
                  <c:v>38</c:v>
                </c:pt>
                <c:pt idx="44">
                  <c:v>38</c:v>
                </c:pt>
                <c:pt idx="45">
                  <c:v>38</c:v>
                </c:pt>
                <c:pt idx="46">
                  <c:v>38</c:v>
                </c:pt>
                <c:pt idx="47">
                  <c:v>38</c:v>
                </c:pt>
                <c:pt idx="48">
                  <c:v>38</c:v>
                </c:pt>
                <c:pt idx="49">
                  <c:v>38</c:v>
                </c:pt>
                <c:pt idx="50">
                  <c:v>38</c:v>
                </c:pt>
                <c:pt idx="51">
                  <c:v>38</c:v>
                </c:pt>
                <c:pt idx="52">
                  <c:v>38</c:v>
                </c:pt>
                <c:pt idx="53">
                  <c:v>38</c:v>
                </c:pt>
                <c:pt idx="54">
                  <c:v>38</c:v>
                </c:pt>
                <c:pt idx="55">
                  <c:v>38</c:v>
                </c:pt>
                <c:pt idx="56">
                  <c:v>38</c:v>
                </c:pt>
                <c:pt idx="57">
                  <c:v>38</c:v>
                </c:pt>
                <c:pt idx="58">
                  <c:v>38</c:v>
                </c:pt>
                <c:pt idx="59">
                  <c:v>38</c:v>
                </c:pt>
                <c:pt idx="60">
                  <c:v>38</c:v>
                </c:pt>
                <c:pt idx="61">
                  <c:v>38</c:v>
                </c:pt>
                <c:pt idx="62">
                  <c:v>38</c:v>
                </c:pt>
                <c:pt idx="63">
                  <c:v>38</c:v>
                </c:pt>
                <c:pt idx="64">
                  <c:v>38</c:v>
                </c:pt>
                <c:pt idx="65">
                  <c:v>38</c:v>
                </c:pt>
                <c:pt idx="66">
                  <c:v>38</c:v>
                </c:pt>
                <c:pt idx="67">
                  <c:v>38</c:v>
                </c:pt>
                <c:pt idx="68">
                  <c:v>38</c:v>
                </c:pt>
                <c:pt idx="69">
                  <c:v>38</c:v>
                </c:pt>
                <c:pt idx="70">
                  <c:v>38</c:v>
                </c:pt>
                <c:pt idx="71">
                  <c:v>38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38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D9-4C63-830D-CCC5660D4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488128"/>
        <c:axId val="79489664"/>
      </c:lineChart>
      <c:catAx>
        <c:axId val="79488128"/>
        <c:scaling>
          <c:orientation val="minMax"/>
        </c:scaling>
        <c:delete val="0"/>
        <c:axPos val="b"/>
        <c:majorGridlines/>
        <c:numFmt formatCode="ddd\ d\-mmm\ hh:mm" sourceLinked="0"/>
        <c:majorTickMark val="out"/>
        <c:minorTickMark val="in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79489664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79489664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79488128"/>
        <c:crosses val="autoZero"/>
        <c:crossBetween val="between"/>
      </c:valAx>
    </c:plotArea>
    <c:plotVisOnly val="0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EN1571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Data!$N$4</c:f>
              <c:strCache>
                <c:ptCount val="1"/>
                <c:pt idx="0">
                  <c:v>EN1571-Room probe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Data!$N$5:$N$101</c:f>
              <c:numCache>
                <c:formatCode>0.0</c:formatCode>
                <c:ptCount val="97"/>
                <c:pt idx="0">
                  <c:v>24.799999237060547</c:v>
                </c:pt>
                <c:pt idx="1">
                  <c:v>24.399999618530273</c:v>
                </c:pt>
                <c:pt idx="2">
                  <c:v>24.799999237060547</c:v>
                </c:pt>
                <c:pt idx="3">
                  <c:v>25</c:v>
                </c:pt>
                <c:pt idx="4">
                  <c:v>25</c:v>
                </c:pt>
                <c:pt idx="5">
                  <c:v>24.799999237060547</c:v>
                </c:pt>
                <c:pt idx="6">
                  <c:v>24.600000381469727</c:v>
                </c:pt>
                <c:pt idx="7">
                  <c:v>24.600000381469727</c:v>
                </c:pt>
                <c:pt idx="8">
                  <c:v>25</c:v>
                </c:pt>
                <c:pt idx="9">
                  <c:v>25</c:v>
                </c:pt>
                <c:pt idx="10">
                  <c:v>24.799999237060547</c:v>
                </c:pt>
                <c:pt idx="11">
                  <c:v>24.799999237060547</c:v>
                </c:pt>
                <c:pt idx="12">
                  <c:v>24.399999618530273</c:v>
                </c:pt>
                <c:pt idx="13">
                  <c:v>24.799999237060547</c:v>
                </c:pt>
                <c:pt idx="14">
                  <c:v>25</c:v>
                </c:pt>
                <c:pt idx="15">
                  <c:v>25</c:v>
                </c:pt>
                <c:pt idx="16">
                  <c:v>24.799999237060547</c:v>
                </c:pt>
                <c:pt idx="17">
                  <c:v>24.600000381469727</c:v>
                </c:pt>
                <c:pt idx="18">
                  <c:v>24.399999618530273</c:v>
                </c:pt>
                <c:pt idx="19">
                  <c:v>24.799999237060547</c:v>
                </c:pt>
                <c:pt idx="20">
                  <c:v>25.200000762939453</c:v>
                </c:pt>
                <c:pt idx="21">
                  <c:v>25.200000762939453</c:v>
                </c:pt>
                <c:pt idx="22">
                  <c:v>25.200000762939453</c:v>
                </c:pt>
                <c:pt idx="23">
                  <c:v>25.200000762939453</c:v>
                </c:pt>
                <c:pt idx="24">
                  <c:v>25.200000762939453</c:v>
                </c:pt>
                <c:pt idx="25">
                  <c:v>25.200000762939453</c:v>
                </c:pt>
                <c:pt idx="26">
                  <c:v>25.200000762939453</c:v>
                </c:pt>
                <c:pt idx="27">
                  <c:v>25.200000762939453</c:v>
                </c:pt>
                <c:pt idx="28">
                  <c:v>25.200000762939453</c:v>
                </c:pt>
                <c:pt idx="29">
                  <c:v>25</c:v>
                </c:pt>
                <c:pt idx="30">
                  <c:v>25</c:v>
                </c:pt>
                <c:pt idx="31">
                  <c:v>24.799999237060547</c:v>
                </c:pt>
                <c:pt idx="32">
                  <c:v>24.799999237060547</c:v>
                </c:pt>
                <c:pt idx="33">
                  <c:v>24.799999237060547</c:v>
                </c:pt>
                <c:pt idx="34">
                  <c:v>24.799999237060547</c:v>
                </c:pt>
                <c:pt idx="35">
                  <c:v>24.600000381469727</c:v>
                </c:pt>
                <c:pt idx="36">
                  <c:v>24.600000381469727</c:v>
                </c:pt>
                <c:pt idx="37">
                  <c:v>24.600000381469727</c:v>
                </c:pt>
                <c:pt idx="38">
                  <c:v>24.600000381469727</c:v>
                </c:pt>
                <c:pt idx="39">
                  <c:v>24.600000381469727</c:v>
                </c:pt>
                <c:pt idx="40">
                  <c:v>24.600000381469727</c:v>
                </c:pt>
                <c:pt idx="41">
                  <c:v>24.600000381469727</c:v>
                </c:pt>
                <c:pt idx="42">
                  <c:v>24.600000381469727</c:v>
                </c:pt>
                <c:pt idx="43">
                  <c:v>24.399999618530273</c:v>
                </c:pt>
                <c:pt idx="44">
                  <c:v>24.799999237060547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24.799999237060547</c:v>
                </c:pt>
                <c:pt idx="50">
                  <c:v>24.600000381469727</c:v>
                </c:pt>
                <c:pt idx="51">
                  <c:v>24.399999618530273</c:v>
                </c:pt>
                <c:pt idx="52">
                  <c:v>24.799999237060547</c:v>
                </c:pt>
                <c:pt idx="53">
                  <c:v>24.799999237060547</c:v>
                </c:pt>
                <c:pt idx="54">
                  <c:v>24.799999237060547</c:v>
                </c:pt>
                <c:pt idx="55">
                  <c:v>24.399999618530273</c:v>
                </c:pt>
                <c:pt idx="56">
                  <c:v>24.799999237060547</c:v>
                </c:pt>
                <c:pt idx="57">
                  <c:v>25.200000762939453</c:v>
                </c:pt>
                <c:pt idx="58">
                  <c:v>25.200000762939453</c:v>
                </c:pt>
                <c:pt idx="59">
                  <c:v>25.200000762939453</c:v>
                </c:pt>
                <c:pt idx="60">
                  <c:v>25</c:v>
                </c:pt>
                <c:pt idx="61">
                  <c:v>24.799999237060547</c:v>
                </c:pt>
                <c:pt idx="62">
                  <c:v>24.600000381469727</c:v>
                </c:pt>
                <c:pt idx="63">
                  <c:v>24.600000381469727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24.799999237060547</c:v>
                </c:pt>
                <c:pt idx="68">
                  <c:v>24.600000381469727</c:v>
                </c:pt>
                <c:pt idx="69">
                  <c:v>24.399999618530273</c:v>
                </c:pt>
                <c:pt idx="70">
                  <c:v>25</c:v>
                </c:pt>
                <c:pt idx="71">
                  <c:v>25.200000762939453</c:v>
                </c:pt>
                <c:pt idx="72">
                  <c:v>25.200000762939453</c:v>
                </c:pt>
                <c:pt idx="73">
                  <c:v>25</c:v>
                </c:pt>
                <c:pt idx="74">
                  <c:v>24.799999237060547</c:v>
                </c:pt>
                <c:pt idx="75">
                  <c:v>24.600000381469727</c:v>
                </c:pt>
                <c:pt idx="76">
                  <c:v>24.799999237060547</c:v>
                </c:pt>
                <c:pt idx="77">
                  <c:v>25</c:v>
                </c:pt>
                <c:pt idx="78">
                  <c:v>25.200000762939453</c:v>
                </c:pt>
                <c:pt idx="79">
                  <c:v>25</c:v>
                </c:pt>
                <c:pt idx="80">
                  <c:v>24.799999237060547</c:v>
                </c:pt>
                <c:pt idx="81">
                  <c:v>24.600000381469727</c:v>
                </c:pt>
                <c:pt idx="82">
                  <c:v>24.399999618530273</c:v>
                </c:pt>
                <c:pt idx="83">
                  <c:v>25</c:v>
                </c:pt>
                <c:pt idx="84">
                  <c:v>25.200000762939453</c:v>
                </c:pt>
                <c:pt idx="85">
                  <c:v>25.200000762939453</c:v>
                </c:pt>
                <c:pt idx="86">
                  <c:v>25</c:v>
                </c:pt>
                <c:pt idx="87">
                  <c:v>24.799999237060547</c:v>
                </c:pt>
                <c:pt idx="88">
                  <c:v>24.600000381469727</c:v>
                </c:pt>
                <c:pt idx="89">
                  <c:v>24.399999618530273</c:v>
                </c:pt>
                <c:pt idx="90">
                  <c:v>25</c:v>
                </c:pt>
                <c:pt idx="91">
                  <c:v>25.200000762939453</c:v>
                </c:pt>
                <c:pt idx="92">
                  <c:v>25</c:v>
                </c:pt>
                <c:pt idx="93">
                  <c:v>25</c:v>
                </c:pt>
                <c:pt idx="94">
                  <c:v>24.799999237060547</c:v>
                </c:pt>
                <c:pt idx="95">
                  <c:v>24.399999618530273</c:v>
                </c:pt>
                <c:pt idx="96">
                  <c:v>24.799999237060547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9B-4B97-91F5-E28960AB0BEA}"/>
            </c:ext>
          </c:extLst>
        </c:ser>
        <c:ser>
          <c:idx val="1"/>
          <c:order val="1"/>
          <c:tx>
            <c:strRef>
              <c:f>Data!$O$4</c:f>
              <c:strCache>
                <c:ptCount val="1"/>
                <c:pt idx="0">
                  <c:v>EN1571 Lower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Data!$O$5:$O$101</c:f>
              <c:numCache>
                <c:formatCode>0.0</c:formatCode>
                <c:ptCount val="97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24</c:v>
                </c:pt>
                <c:pt idx="33">
                  <c:v>24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24</c:v>
                </c:pt>
                <c:pt idx="72">
                  <c:v>24</c:v>
                </c:pt>
                <c:pt idx="73">
                  <c:v>24</c:v>
                </c:pt>
                <c:pt idx="74">
                  <c:v>24</c:v>
                </c:pt>
                <c:pt idx="75">
                  <c:v>24</c:v>
                </c:pt>
                <c:pt idx="76">
                  <c:v>24</c:v>
                </c:pt>
                <c:pt idx="77">
                  <c:v>24</c:v>
                </c:pt>
                <c:pt idx="78">
                  <c:v>24</c:v>
                </c:pt>
                <c:pt idx="79">
                  <c:v>24</c:v>
                </c:pt>
                <c:pt idx="80">
                  <c:v>24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24</c:v>
                </c:pt>
                <c:pt idx="86">
                  <c:v>24</c:v>
                </c:pt>
                <c:pt idx="87">
                  <c:v>24</c:v>
                </c:pt>
                <c:pt idx="88">
                  <c:v>24</c:v>
                </c:pt>
                <c:pt idx="89">
                  <c:v>24</c:v>
                </c:pt>
                <c:pt idx="90">
                  <c:v>24</c:v>
                </c:pt>
                <c:pt idx="91">
                  <c:v>24</c:v>
                </c:pt>
                <c:pt idx="92">
                  <c:v>24</c:v>
                </c:pt>
                <c:pt idx="93">
                  <c:v>24</c:v>
                </c:pt>
                <c:pt idx="94">
                  <c:v>24</c:v>
                </c:pt>
                <c:pt idx="95">
                  <c:v>24</c:v>
                </c:pt>
                <c:pt idx="96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9B-4B97-91F5-E28960AB0BEA}"/>
            </c:ext>
          </c:extLst>
        </c:ser>
        <c:ser>
          <c:idx val="2"/>
          <c:order val="2"/>
          <c:tx>
            <c:strRef>
              <c:f>Data!$P$4</c:f>
              <c:strCache>
                <c:ptCount val="1"/>
                <c:pt idx="0">
                  <c:v>EN1571 Higher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Data!$P$5:$P$101</c:f>
              <c:numCache>
                <c:formatCode>0.0</c:formatCode>
                <c:ptCount val="97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26</c:v>
                </c:pt>
                <c:pt idx="9">
                  <c:v>26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26</c:v>
                </c:pt>
                <c:pt idx="24">
                  <c:v>26</c:v>
                </c:pt>
                <c:pt idx="25">
                  <c:v>26</c:v>
                </c:pt>
                <c:pt idx="26">
                  <c:v>26</c:v>
                </c:pt>
                <c:pt idx="27">
                  <c:v>26</c:v>
                </c:pt>
                <c:pt idx="28">
                  <c:v>26</c:v>
                </c:pt>
                <c:pt idx="29">
                  <c:v>26</c:v>
                </c:pt>
                <c:pt idx="30">
                  <c:v>26</c:v>
                </c:pt>
                <c:pt idx="31">
                  <c:v>26</c:v>
                </c:pt>
                <c:pt idx="32">
                  <c:v>26</c:v>
                </c:pt>
                <c:pt idx="33">
                  <c:v>26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26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26</c:v>
                </c:pt>
                <c:pt idx="45">
                  <c:v>26</c:v>
                </c:pt>
                <c:pt idx="46">
                  <c:v>26</c:v>
                </c:pt>
                <c:pt idx="47">
                  <c:v>26</c:v>
                </c:pt>
                <c:pt idx="48">
                  <c:v>26</c:v>
                </c:pt>
                <c:pt idx="49">
                  <c:v>26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26</c:v>
                </c:pt>
                <c:pt idx="55">
                  <c:v>26</c:v>
                </c:pt>
                <c:pt idx="56">
                  <c:v>26</c:v>
                </c:pt>
                <c:pt idx="57">
                  <c:v>26</c:v>
                </c:pt>
                <c:pt idx="58">
                  <c:v>26</c:v>
                </c:pt>
                <c:pt idx="59">
                  <c:v>26</c:v>
                </c:pt>
                <c:pt idx="60">
                  <c:v>26</c:v>
                </c:pt>
                <c:pt idx="61">
                  <c:v>26</c:v>
                </c:pt>
                <c:pt idx="62">
                  <c:v>26</c:v>
                </c:pt>
                <c:pt idx="63">
                  <c:v>26</c:v>
                </c:pt>
                <c:pt idx="64">
                  <c:v>26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26</c:v>
                </c:pt>
                <c:pt idx="72">
                  <c:v>26</c:v>
                </c:pt>
                <c:pt idx="73">
                  <c:v>26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26</c:v>
                </c:pt>
                <c:pt idx="82">
                  <c:v>26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26</c:v>
                </c:pt>
                <c:pt idx="88">
                  <c:v>26</c:v>
                </c:pt>
                <c:pt idx="89">
                  <c:v>26</c:v>
                </c:pt>
                <c:pt idx="90">
                  <c:v>26</c:v>
                </c:pt>
                <c:pt idx="91">
                  <c:v>26</c:v>
                </c:pt>
                <c:pt idx="92">
                  <c:v>26</c:v>
                </c:pt>
                <c:pt idx="93">
                  <c:v>26</c:v>
                </c:pt>
                <c:pt idx="94">
                  <c:v>26</c:v>
                </c:pt>
                <c:pt idx="95">
                  <c:v>26</c:v>
                </c:pt>
                <c:pt idx="96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A9B-4B97-91F5-E28960AB0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38720"/>
        <c:axId val="80640256"/>
      </c:lineChart>
      <c:catAx>
        <c:axId val="80638720"/>
        <c:scaling>
          <c:orientation val="minMax"/>
        </c:scaling>
        <c:delete val="0"/>
        <c:axPos val="b"/>
        <c:majorGridlines/>
        <c:numFmt formatCode="ddd\ d\-mmm\ hh:mm" sourceLinked="0"/>
        <c:majorTickMark val="out"/>
        <c:minorTickMark val="in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80640256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0640256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80638720"/>
        <c:crosses val="autoZero"/>
        <c:crossBetween val="between"/>
      </c:valAx>
    </c:plotArea>
    <c:plotVisOnly val="0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EN1570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Data!$K$4</c:f>
              <c:strCache>
                <c:ptCount val="1"/>
                <c:pt idx="0">
                  <c:v>EN1570-Room probe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Data!$K$5:$K$101</c:f>
              <c:numCache>
                <c:formatCode>0.0</c:formatCode>
                <c:ptCount val="97"/>
                <c:pt idx="0">
                  <c:v>29.600000381469727</c:v>
                </c:pt>
                <c:pt idx="1">
                  <c:v>29.600000381469727</c:v>
                </c:pt>
                <c:pt idx="2">
                  <c:v>29.799999237060547</c:v>
                </c:pt>
                <c:pt idx="3">
                  <c:v>29.799999237060547</c:v>
                </c:pt>
                <c:pt idx="4">
                  <c:v>29.799999237060547</c:v>
                </c:pt>
                <c:pt idx="5">
                  <c:v>29.799999237060547</c:v>
                </c:pt>
                <c:pt idx="6">
                  <c:v>29.600000381469727</c:v>
                </c:pt>
                <c:pt idx="7">
                  <c:v>29.600000381469727</c:v>
                </c:pt>
                <c:pt idx="8">
                  <c:v>29.799999237060547</c:v>
                </c:pt>
                <c:pt idx="9">
                  <c:v>29.600000381469727</c:v>
                </c:pt>
                <c:pt idx="10">
                  <c:v>29.799999237060547</c:v>
                </c:pt>
                <c:pt idx="11">
                  <c:v>29.600000381469727</c:v>
                </c:pt>
                <c:pt idx="12">
                  <c:v>29.600000381469727</c:v>
                </c:pt>
                <c:pt idx="13">
                  <c:v>29.600000381469727</c:v>
                </c:pt>
                <c:pt idx="14">
                  <c:v>29.600000381469727</c:v>
                </c:pt>
                <c:pt idx="15">
                  <c:v>29.600000381469727</c:v>
                </c:pt>
                <c:pt idx="16">
                  <c:v>29.600000381469727</c:v>
                </c:pt>
                <c:pt idx="17">
                  <c:v>29.600000381469727</c:v>
                </c:pt>
                <c:pt idx="18">
                  <c:v>29.799999237060547</c:v>
                </c:pt>
                <c:pt idx="19">
                  <c:v>29.600000381469727</c:v>
                </c:pt>
                <c:pt idx="20">
                  <c:v>29.799999237060547</c:v>
                </c:pt>
                <c:pt idx="21">
                  <c:v>29.600000381469727</c:v>
                </c:pt>
                <c:pt idx="22">
                  <c:v>29.799999237060547</c:v>
                </c:pt>
                <c:pt idx="23">
                  <c:v>29.600000381469727</c:v>
                </c:pt>
                <c:pt idx="24">
                  <c:v>29.600000381469727</c:v>
                </c:pt>
                <c:pt idx="25">
                  <c:v>29.600000381469727</c:v>
                </c:pt>
                <c:pt idx="26">
                  <c:v>29.600000381469727</c:v>
                </c:pt>
                <c:pt idx="27">
                  <c:v>29.799999237060547</c:v>
                </c:pt>
                <c:pt idx="28">
                  <c:v>29.600000381469727</c:v>
                </c:pt>
                <c:pt idx="29">
                  <c:v>29.600000381469727</c:v>
                </c:pt>
                <c:pt idx="30">
                  <c:v>29.600000381469727</c:v>
                </c:pt>
                <c:pt idx="31">
                  <c:v>29.600000381469727</c:v>
                </c:pt>
                <c:pt idx="32">
                  <c:v>29.600000381469727</c:v>
                </c:pt>
                <c:pt idx="33">
                  <c:v>29.600000381469727</c:v>
                </c:pt>
                <c:pt idx="34">
                  <c:v>29.799999237060547</c:v>
                </c:pt>
                <c:pt idx="35">
                  <c:v>29.600000381469727</c:v>
                </c:pt>
                <c:pt idx="36">
                  <c:v>29.600000381469727</c:v>
                </c:pt>
                <c:pt idx="37">
                  <c:v>29.600000381469727</c:v>
                </c:pt>
                <c:pt idx="38">
                  <c:v>29.600000381469727</c:v>
                </c:pt>
                <c:pt idx="39">
                  <c:v>29.600000381469727</c:v>
                </c:pt>
                <c:pt idx="40">
                  <c:v>29.600000381469727</c:v>
                </c:pt>
                <c:pt idx="41">
                  <c:v>29.600000381469727</c:v>
                </c:pt>
                <c:pt idx="42">
                  <c:v>29.600000381469727</c:v>
                </c:pt>
                <c:pt idx="43">
                  <c:v>29.600000381469727</c:v>
                </c:pt>
                <c:pt idx="44">
                  <c:v>29.600000381469727</c:v>
                </c:pt>
                <c:pt idx="45">
                  <c:v>29.799999237060547</c:v>
                </c:pt>
                <c:pt idx="46">
                  <c:v>29.600000381469727</c:v>
                </c:pt>
                <c:pt idx="47">
                  <c:v>29.600000381469727</c:v>
                </c:pt>
                <c:pt idx="48">
                  <c:v>29.600000381469727</c:v>
                </c:pt>
                <c:pt idx="49">
                  <c:v>29.600000381469727</c:v>
                </c:pt>
                <c:pt idx="50">
                  <c:v>29.600000381469727</c:v>
                </c:pt>
                <c:pt idx="51">
                  <c:v>29.600000381469727</c:v>
                </c:pt>
                <c:pt idx="52">
                  <c:v>29.799999237060547</c:v>
                </c:pt>
                <c:pt idx="53">
                  <c:v>29.600000381469727</c:v>
                </c:pt>
                <c:pt idx="54">
                  <c:v>29.600000381469727</c:v>
                </c:pt>
                <c:pt idx="55">
                  <c:v>29.799999237060547</c:v>
                </c:pt>
                <c:pt idx="56">
                  <c:v>29.799999237060547</c:v>
                </c:pt>
                <c:pt idx="57">
                  <c:v>29.600000381469727</c:v>
                </c:pt>
                <c:pt idx="58">
                  <c:v>29.600000381469727</c:v>
                </c:pt>
                <c:pt idx="59">
                  <c:v>29.799999237060547</c:v>
                </c:pt>
                <c:pt idx="60">
                  <c:v>29.600000381469727</c:v>
                </c:pt>
                <c:pt idx="61">
                  <c:v>29.600000381469727</c:v>
                </c:pt>
                <c:pt idx="62">
                  <c:v>29.600000381469727</c:v>
                </c:pt>
                <c:pt idx="63">
                  <c:v>29.600000381469727</c:v>
                </c:pt>
                <c:pt idx="64">
                  <c:v>29.799999237060547</c:v>
                </c:pt>
                <c:pt idx="65">
                  <c:v>29.600000381469727</c:v>
                </c:pt>
                <c:pt idx="66">
                  <c:v>29.600000381469727</c:v>
                </c:pt>
                <c:pt idx="67">
                  <c:v>29.799999237060547</c:v>
                </c:pt>
                <c:pt idx="68">
                  <c:v>29.799999237060547</c:v>
                </c:pt>
                <c:pt idx="69">
                  <c:v>29.600000381469727</c:v>
                </c:pt>
                <c:pt idx="70">
                  <c:v>29.600000381469727</c:v>
                </c:pt>
                <c:pt idx="71">
                  <c:v>29.799999237060547</c:v>
                </c:pt>
                <c:pt idx="72">
                  <c:v>29.799999237060547</c:v>
                </c:pt>
                <c:pt idx="73">
                  <c:v>29.600000381469727</c:v>
                </c:pt>
                <c:pt idx="74">
                  <c:v>29.600000381469727</c:v>
                </c:pt>
                <c:pt idx="75">
                  <c:v>29.600000381469727</c:v>
                </c:pt>
                <c:pt idx="76">
                  <c:v>29.799999237060547</c:v>
                </c:pt>
                <c:pt idx="77">
                  <c:v>29.600000381469727</c:v>
                </c:pt>
                <c:pt idx="78">
                  <c:v>29.799999237060547</c:v>
                </c:pt>
                <c:pt idx="79">
                  <c:v>29.799999237060547</c:v>
                </c:pt>
                <c:pt idx="80">
                  <c:v>29.600000381469727</c:v>
                </c:pt>
                <c:pt idx="81">
                  <c:v>29.600000381469727</c:v>
                </c:pt>
                <c:pt idx="82">
                  <c:v>29.799999237060547</c:v>
                </c:pt>
                <c:pt idx="83">
                  <c:v>29.600000381469727</c:v>
                </c:pt>
                <c:pt idx="84">
                  <c:v>29.600000381469727</c:v>
                </c:pt>
                <c:pt idx="85">
                  <c:v>29.799999237060547</c:v>
                </c:pt>
                <c:pt idx="86">
                  <c:v>29.600000381469727</c:v>
                </c:pt>
                <c:pt idx="87">
                  <c:v>29.600000381469727</c:v>
                </c:pt>
                <c:pt idx="88">
                  <c:v>29.600000381469727</c:v>
                </c:pt>
                <c:pt idx="89">
                  <c:v>29.600000381469727</c:v>
                </c:pt>
                <c:pt idx="90">
                  <c:v>29.799999237060547</c:v>
                </c:pt>
                <c:pt idx="91">
                  <c:v>29.600000381469727</c:v>
                </c:pt>
                <c:pt idx="92">
                  <c:v>29.600000381469727</c:v>
                </c:pt>
                <c:pt idx="93">
                  <c:v>29.600000381469727</c:v>
                </c:pt>
                <c:pt idx="94">
                  <c:v>29.600000381469727</c:v>
                </c:pt>
                <c:pt idx="95">
                  <c:v>29.600000381469727</c:v>
                </c:pt>
                <c:pt idx="96">
                  <c:v>29.600000381469727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4F-401A-A166-B51D9D342B60}"/>
            </c:ext>
          </c:extLst>
        </c:ser>
        <c:ser>
          <c:idx val="1"/>
          <c:order val="1"/>
          <c:tx>
            <c:strRef>
              <c:f>Data!$L$4</c:f>
              <c:strCache>
                <c:ptCount val="1"/>
                <c:pt idx="0">
                  <c:v>EN1570 Lower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Data!$L$5:$L$101</c:f>
              <c:numCache>
                <c:formatCode>0.0</c:formatCode>
                <c:ptCount val="97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  <c:pt idx="30">
                  <c:v>29</c:v>
                </c:pt>
                <c:pt idx="31">
                  <c:v>29</c:v>
                </c:pt>
                <c:pt idx="32">
                  <c:v>29</c:v>
                </c:pt>
                <c:pt idx="33">
                  <c:v>29</c:v>
                </c:pt>
                <c:pt idx="34">
                  <c:v>29</c:v>
                </c:pt>
                <c:pt idx="35">
                  <c:v>29</c:v>
                </c:pt>
                <c:pt idx="36">
                  <c:v>29</c:v>
                </c:pt>
                <c:pt idx="37">
                  <c:v>29</c:v>
                </c:pt>
                <c:pt idx="38">
                  <c:v>29</c:v>
                </c:pt>
                <c:pt idx="39">
                  <c:v>29</c:v>
                </c:pt>
                <c:pt idx="40">
                  <c:v>29</c:v>
                </c:pt>
                <c:pt idx="41">
                  <c:v>29</c:v>
                </c:pt>
                <c:pt idx="42">
                  <c:v>29</c:v>
                </c:pt>
                <c:pt idx="43">
                  <c:v>29</c:v>
                </c:pt>
                <c:pt idx="44">
                  <c:v>29</c:v>
                </c:pt>
                <c:pt idx="45">
                  <c:v>29</c:v>
                </c:pt>
                <c:pt idx="46">
                  <c:v>29</c:v>
                </c:pt>
                <c:pt idx="47">
                  <c:v>29</c:v>
                </c:pt>
                <c:pt idx="48">
                  <c:v>29</c:v>
                </c:pt>
                <c:pt idx="49">
                  <c:v>29</c:v>
                </c:pt>
                <c:pt idx="50">
                  <c:v>29</c:v>
                </c:pt>
                <c:pt idx="51">
                  <c:v>29</c:v>
                </c:pt>
                <c:pt idx="52">
                  <c:v>29</c:v>
                </c:pt>
                <c:pt idx="53">
                  <c:v>29</c:v>
                </c:pt>
                <c:pt idx="54">
                  <c:v>29</c:v>
                </c:pt>
                <c:pt idx="55">
                  <c:v>29</c:v>
                </c:pt>
                <c:pt idx="56">
                  <c:v>29</c:v>
                </c:pt>
                <c:pt idx="57">
                  <c:v>29</c:v>
                </c:pt>
                <c:pt idx="58">
                  <c:v>29</c:v>
                </c:pt>
                <c:pt idx="59">
                  <c:v>29</c:v>
                </c:pt>
                <c:pt idx="60">
                  <c:v>29</c:v>
                </c:pt>
                <c:pt idx="61">
                  <c:v>29</c:v>
                </c:pt>
                <c:pt idx="62">
                  <c:v>29</c:v>
                </c:pt>
                <c:pt idx="63">
                  <c:v>29</c:v>
                </c:pt>
                <c:pt idx="64">
                  <c:v>29</c:v>
                </c:pt>
                <c:pt idx="65">
                  <c:v>29</c:v>
                </c:pt>
                <c:pt idx="66">
                  <c:v>29</c:v>
                </c:pt>
                <c:pt idx="67">
                  <c:v>29</c:v>
                </c:pt>
                <c:pt idx="68">
                  <c:v>29</c:v>
                </c:pt>
                <c:pt idx="69">
                  <c:v>29</c:v>
                </c:pt>
                <c:pt idx="70">
                  <c:v>29</c:v>
                </c:pt>
                <c:pt idx="71">
                  <c:v>29</c:v>
                </c:pt>
                <c:pt idx="72">
                  <c:v>29</c:v>
                </c:pt>
                <c:pt idx="73">
                  <c:v>29</c:v>
                </c:pt>
                <c:pt idx="74">
                  <c:v>29</c:v>
                </c:pt>
                <c:pt idx="75">
                  <c:v>29</c:v>
                </c:pt>
                <c:pt idx="76">
                  <c:v>29</c:v>
                </c:pt>
                <c:pt idx="77">
                  <c:v>29</c:v>
                </c:pt>
                <c:pt idx="78">
                  <c:v>29</c:v>
                </c:pt>
                <c:pt idx="79">
                  <c:v>29</c:v>
                </c:pt>
                <c:pt idx="80">
                  <c:v>29</c:v>
                </c:pt>
                <c:pt idx="81">
                  <c:v>29</c:v>
                </c:pt>
                <c:pt idx="82">
                  <c:v>29</c:v>
                </c:pt>
                <c:pt idx="83">
                  <c:v>29</c:v>
                </c:pt>
                <c:pt idx="84">
                  <c:v>29</c:v>
                </c:pt>
                <c:pt idx="85">
                  <c:v>29</c:v>
                </c:pt>
                <c:pt idx="86">
                  <c:v>29</c:v>
                </c:pt>
                <c:pt idx="87">
                  <c:v>29</c:v>
                </c:pt>
                <c:pt idx="88">
                  <c:v>29</c:v>
                </c:pt>
                <c:pt idx="89">
                  <c:v>29</c:v>
                </c:pt>
                <c:pt idx="90">
                  <c:v>29</c:v>
                </c:pt>
                <c:pt idx="91">
                  <c:v>29</c:v>
                </c:pt>
                <c:pt idx="92">
                  <c:v>29</c:v>
                </c:pt>
                <c:pt idx="93">
                  <c:v>29</c:v>
                </c:pt>
                <c:pt idx="94">
                  <c:v>29</c:v>
                </c:pt>
                <c:pt idx="95">
                  <c:v>29</c:v>
                </c:pt>
                <c:pt idx="96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4F-401A-A166-B51D9D342B60}"/>
            </c:ext>
          </c:extLst>
        </c:ser>
        <c:ser>
          <c:idx val="2"/>
          <c:order val="2"/>
          <c:tx>
            <c:strRef>
              <c:f>Data!$M$4</c:f>
              <c:strCache>
                <c:ptCount val="1"/>
                <c:pt idx="0">
                  <c:v>EN1570 Higher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Data!$M$5:$M$101</c:f>
              <c:numCache>
                <c:formatCode>0.0</c:formatCode>
                <c:ptCount val="97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  <c:pt idx="11">
                  <c:v>31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31</c:v>
                </c:pt>
                <c:pt idx="17">
                  <c:v>31</c:v>
                </c:pt>
                <c:pt idx="18">
                  <c:v>31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31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31</c:v>
                </c:pt>
                <c:pt idx="27">
                  <c:v>31</c:v>
                </c:pt>
                <c:pt idx="28">
                  <c:v>31</c:v>
                </c:pt>
                <c:pt idx="29">
                  <c:v>31</c:v>
                </c:pt>
                <c:pt idx="30">
                  <c:v>31</c:v>
                </c:pt>
                <c:pt idx="31">
                  <c:v>31</c:v>
                </c:pt>
                <c:pt idx="32">
                  <c:v>31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31</c:v>
                </c:pt>
                <c:pt idx="37">
                  <c:v>31</c:v>
                </c:pt>
                <c:pt idx="38">
                  <c:v>31</c:v>
                </c:pt>
                <c:pt idx="39">
                  <c:v>31</c:v>
                </c:pt>
                <c:pt idx="40">
                  <c:v>31</c:v>
                </c:pt>
                <c:pt idx="41">
                  <c:v>31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31</c:v>
                </c:pt>
                <c:pt idx="57">
                  <c:v>31</c:v>
                </c:pt>
                <c:pt idx="58">
                  <c:v>31</c:v>
                </c:pt>
                <c:pt idx="59">
                  <c:v>31</c:v>
                </c:pt>
                <c:pt idx="60">
                  <c:v>31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31</c:v>
                </c:pt>
                <c:pt idx="67">
                  <c:v>31</c:v>
                </c:pt>
                <c:pt idx="68">
                  <c:v>31</c:v>
                </c:pt>
                <c:pt idx="69">
                  <c:v>31</c:v>
                </c:pt>
                <c:pt idx="70">
                  <c:v>31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31</c:v>
                </c:pt>
                <c:pt idx="80">
                  <c:v>31</c:v>
                </c:pt>
                <c:pt idx="81">
                  <c:v>31</c:v>
                </c:pt>
                <c:pt idx="82">
                  <c:v>31</c:v>
                </c:pt>
                <c:pt idx="83">
                  <c:v>31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31</c:v>
                </c:pt>
                <c:pt idx="89">
                  <c:v>31</c:v>
                </c:pt>
                <c:pt idx="90">
                  <c:v>31</c:v>
                </c:pt>
                <c:pt idx="91">
                  <c:v>31</c:v>
                </c:pt>
                <c:pt idx="92">
                  <c:v>31</c:v>
                </c:pt>
                <c:pt idx="93">
                  <c:v>31</c:v>
                </c:pt>
                <c:pt idx="94">
                  <c:v>31</c:v>
                </c:pt>
                <c:pt idx="95">
                  <c:v>31</c:v>
                </c:pt>
                <c:pt idx="9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4F-401A-A166-B51D9D342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687104"/>
        <c:axId val="80688640"/>
      </c:lineChart>
      <c:catAx>
        <c:axId val="80687104"/>
        <c:scaling>
          <c:orientation val="minMax"/>
        </c:scaling>
        <c:delete val="0"/>
        <c:axPos val="b"/>
        <c:majorGridlines/>
        <c:numFmt formatCode="ddd\ d\-mmm\ hh:mm" sourceLinked="0"/>
        <c:majorTickMark val="out"/>
        <c:minorTickMark val="in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80688640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0688640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80687104"/>
        <c:crosses val="autoZero"/>
        <c:crossBetween val="between"/>
      </c:valAx>
    </c:plotArea>
    <c:plotVisOnly val="0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EN1569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Data!$H$4</c:f>
              <c:strCache>
                <c:ptCount val="1"/>
                <c:pt idx="0">
                  <c:v>EN1569-Room probe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Data!$H$5:$H$101</c:f>
              <c:numCache>
                <c:formatCode>0.0</c:formatCode>
                <c:ptCount val="97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#N/A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35</c:v>
                </c:pt>
                <c:pt idx="31">
                  <c:v>34.799999237060547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35</c:v>
                </c:pt>
                <c:pt idx="38">
                  <c:v>35.200000762939453</c:v>
                </c:pt>
                <c:pt idx="39">
                  <c:v>35</c:v>
                </c:pt>
                <c:pt idx="40">
                  <c:v>34.799999237060547</c:v>
                </c:pt>
                <c:pt idx="41">
                  <c:v>35.200000762939453</c:v>
                </c:pt>
                <c:pt idx="42">
                  <c:v>34.799999237060547</c:v>
                </c:pt>
                <c:pt idx="43">
                  <c:v>35.200000762939453</c:v>
                </c:pt>
                <c:pt idx="44">
                  <c:v>35</c:v>
                </c:pt>
                <c:pt idx="45">
                  <c:v>34.599998474121094</c:v>
                </c:pt>
                <c:pt idx="46">
                  <c:v>35</c:v>
                </c:pt>
                <c:pt idx="47">
                  <c:v>35.599998474121094</c:v>
                </c:pt>
                <c:pt idx="48">
                  <c:v>35.599998474121094</c:v>
                </c:pt>
                <c:pt idx="49">
                  <c:v>35</c:v>
                </c:pt>
                <c:pt idx="50">
                  <c:v>34.799999237060547</c:v>
                </c:pt>
                <c:pt idx="51">
                  <c:v>35.400001525878906</c:v>
                </c:pt>
                <c:pt idx="52">
                  <c:v>35.599998474121094</c:v>
                </c:pt>
                <c:pt idx="53">
                  <c:v>35.200000762939453</c:v>
                </c:pt>
                <c:pt idx="54">
                  <c:v>34.599998474121094</c:v>
                </c:pt>
                <c:pt idx="55">
                  <c:v>34.799999237060547</c:v>
                </c:pt>
                <c:pt idx="56">
                  <c:v>35.400001525878906</c:v>
                </c:pt>
                <c:pt idx="57">
                  <c:v>35.400001525878906</c:v>
                </c:pt>
                <c:pt idx="58">
                  <c:v>35.200000762939453</c:v>
                </c:pt>
                <c:pt idx="59">
                  <c:v>34.799999237060547</c:v>
                </c:pt>
                <c:pt idx="60">
                  <c:v>35.200000762939453</c:v>
                </c:pt>
                <c:pt idx="61">
                  <c:v>35.400001525878906</c:v>
                </c:pt>
                <c:pt idx="62">
                  <c:v>35.400001525878906</c:v>
                </c:pt>
                <c:pt idx="63">
                  <c:v>35</c:v>
                </c:pt>
                <c:pt idx="64">
                  <c:v>34.799999237060547</c:v>
                </c:pt>
                <c:pt idx="65">
                  <c:v>35.200000762939453</c:v>
                </c:pt>
                <c:pt idx="66">
                  <c:v>35.400001525878906</c:v>
                </c:pt>
                <c:pt idx="67">
                  <c:v>35.200000762939453</c:v>
                </c:pt>
                <c:pt idx="68">
                  <c:v>34.799999237060547</c:v>
                </c:pt>
                <c:pt idx="69">
                  <c:v>35.200000762939453</c:v>
                </c:pt>
                <c:pt idx="70">
                  <c:v>35.400001525878906</c:v>
                </c:pt>
                <c:pt idx="71">
                  <c:v>35.200000762939453</c:v>
                </c:pt>
                <c:pt idx="72">
                  <c:v>34.799999237060547</c:v>
                </c:pt>
                <c:pt idx="73">
                  <c:v>35</c:v>
                </c:pt>
                <c:pt idx="74">
                  <c:v>35.400001525878906</c:v>
                </c:pt>
                <c:pt idx="75">
                  <c:v>35.400001525878906</c:v>
                </c:pt>
                <c:pt idx="76">
                  <c:v>35</c:v>
                </c:pt>
                <c:pt idx="77">
                  <c:v>34.799999237060547</c:v>
                </c:pt>
                <c:pt idx="78">
                  <c:v>35.200000762939453</c:v>
                </c:pt>
                <c:pt idx="79">
                  <c:v>35.400001525878906</c:v>
                </c:pt>
                <c:pt idx="80">
                  <c:v>35</c:v>
                </c:pt>
                <c:pt idx="81">
                  <c:v>34.799999237060547</c:v>
                </c:pt>
                <c:pt idx="82">
                  <c:v>35.200000762939453</c:v>
                </c:pt>
                <c:pt idx="83">
                  <c:v>35.400001525878906</c:v>
                </c:pt>
                <c:pt idx="84">
                  <c:v>35.200000762939453</c:v>
                </c:pt>
                <c:pt idx="85">
                  <c:v>34.799999237060547</c:v>
                </c:pt>
                <c:pt idx="86">
                  <c:v>35.200000762939453</c:v>
                </c:pt>
                <c:pt idx="87">
                  <c:v>35.400001525878906</c:v>
                </c:pt>
                <c:pt idx="88">
                  <c:v>35.200000762939453</c:v>
                </c:pt>
                <c:pt idx="89">
                  <c:v>34.799999237060547</c:v>
                </c:pt>
                <c:pt idx="90">
                  <c:v>35</c:v>
                </c:pt>
                <c:pt idx="91">
                  <c:v>35.400001525878906</c:v>
                </c:pt>
                <c:pt idx="92">
                  <c:v>35.200000762939453</c:v>
                </c:pt>
                <c:pt idx="93">
                  <c:v>35</c:v>
                </c:pt>
                <c:pt idx="94">
                  <c:v>34.799999237060547</c:v>
                </c:pt>
                <c:pt idx="95">
                  <c:v>35.200000762939453</c:v>
                </c:pt>
                <c:pt idx="96">
                  <c:v>35.200000762939453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4-4732-AC36-BB35056F535C}"/>
            </c:ext>
          </c:extLst>
        </c:ser>
        <c:ser>
          <c:idx val="1"/>
          <c:order val="1"/>
          <c:tx>
            <c:strRef>
              <c:f>Data!$I$4</c:f>
              <c:strCache>
                <c:ptCount val="1"/>
                <c:pt idx="0">
                  <c:v>EN1569 Lower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Data!$I$5:$I$101</c:f>
              <c:numCache>
                <c:formatCode>0.0</c:formatCode>
                <c:ptCount val="97"/>
                <c:pt idx="0">
                  <c:v>34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  <c:pt idx="5">
                  <c:v>34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  <c:pt idx="11">
                  <c:v>34</c:v>
                </c:pt>
                <c:pt idx="12">
                  <c:v>34</c:v>
                </c:pt>
                <c:pt idx="13">
                  <c:v>34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34</c:v>
                </c:pt>
                <c:pt idx="19">
                  <c:v>34</c:v>
                </c:pt>
                <c:pt idx="20">
                  <c:v>34</c:v>
                </c:pt>
                <c:pt idx="21">
                  <c:v>34</c:v>
                </c:pt>
                <c:pt idx="22">
                  <c:v>34</c:v>
                </c:pt>
                <c:pt idx="23">
                  <c:v>34</c:v>
                </c:pt>
                <c:pt idx="24">
                  <c:v>34</c:v>
                </c:pt>
                <c:pt idx="25">
                  <c:v>34</c:v>
                </c:pt>
                <c:pt idx="26">
                  <c:v>34</c:v>
                </c:pt>
                <c:pt idx="27">
                  <c:v>34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34</c:v>
                </c:pt>
                <c:pt idx="32">
                  <c:v>34</c:v>
                </c:pt>
                <c:pt idx="33">
                  <c:v>34</c:v>
                </c:pt>
                <c:pt idx="34">
                  <c:v>34</c:v>
                </c:pt>
                <c:pt idx="35">
                  <c:v>34</c:v>
                </c:pt>
                <c:pt idx="36">
                  <c:v>34</c:v>
                </c:pt>
                <c:pt idx="37">
                  <c:v>34</c:v>
                </c:pt>
                <c:pt idx="38">
                  <c:v>34</c:v>
                </c:pt>
                <c:pt idx="39">
                  <c:v>34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34</c:v>
                </c:pt>
                <c:pt idx="46">
                  <c:v>34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</c:v>
                </c:pt>
                <c:pt idx="62">
                  <c:v>34</c:v>
                </c:pt>
                <c:pt idx="63">
                  <c:v>34</c:v>
                </c:pt>
                <c:pt idx="64">
                  <c:v>34</c:v>
                </c:pt>
                <c:pt idx="65">
                  <c:v>34</c:v>
                </c:pt>
                <c:pt idx="66">
                  <c:v>34</c:v>
                </c:pt>
                <c:pt idx="67">
                  <c:v>34</c:v>
                </c:pt>
                <c:pt idx="68">
                  <c:v>34</c:v>
                </c:pt>
                <c:pt idx="69">
                  <c:v>34</c:v>
                </c:pt>
                <c:pt idx="70">
                  <c:v>34</c:v>
                </c:pt>
                <c:pt idx="71">
                  <c:v>34</c:v>
                </c:pt>
                <c:pt idx="72">
                  <c:v>34</c:v>
                </c:pt>
                <c:pt idx="73">
                  <c:v>34</c:v>
                </c:pt>
                <c:pt idx="74">
                  <c:v>34</c:v>
                </c:pt>
                <c:pt idx="75">
                  <c:v>34</c:v>
                </c:pt>
                <c:pt idx="76">
                  <c:v>34</c:v>
                </c:pt>
                <c:pt idx="77">
                  <c:v>34</c:v>
                </c:pt>
                <c:pt idx="78">
                  <c:v>34</c:v>
                </c:pt>
                <c:pt idx="79">
                  <c:v>34</c:v>
                </c:pt>
                <c:pt idx="80">
                  <c:v>34</c:v>
                </c:pt>
                <c:pt idx="81">
                  <c:v>34</c:v>
                </c:pt>
                <c:pt idx="82">
                  <c:v>34</c:v>
                </c:pt>
                <c:pt idx="83">
                  <c:v>34</c:v>
                </c:pt>
                <c:pt idx="84">
                  <c:v>34</c:v>
                </c:pt>
                <c:pt idx="85">
                  <c:v>34</c:v>
                </c:pt>
                <c:pt idx="86">
                  <c:v>34</c:v>
                </c:pt>
                <c:pt idx="87">
                  <c:v>34</c:v>
                </c:pt>
                <c:pt idx="88">
                  <c:v>34</c:v>
                </c:pt>
                <c:pt idx="89">
                  <c:v>34</c:v>
                </c:pt>
                <c:pt idx="90">
                  <c:v>34</c:v>
                </c:pt>
                <c:pt idx="91">
                  <c:v>34</c:v>
                </c:pt>
                <c:pt idx="92">
                  <c:v>34</c:v>
                </c:pt>
                <c:pt idx="93">
                  <c:v>34</c:v>
                </c:pt>
                <c:pt idx="94">
                  <c:v>34</c:v>
                </c:pt>
                <c:pt idx="95">
                  <c:v>34</c:v>
                </c:pt>
                <c:pt idx="96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84-4732-AC36-BB35056F535C}"/>
            </c:ext>
          </c:extLst>
        </c:ser>
        <c:ser>
          <c:idx val="2"/>
          <c:order val="2"/>
          <c:tx>
            <c:strRef>
              <c:f>Data!$J$4</c:f>
              <c:strCache>
                <c:ptCount val="1"/>
                <c:pt idx="0">
                  <c:v>EN1569 Higher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Data!$J$5:$J$101</c:f>
              <c:numCache>
                <c:formatCode>0.0</c:formatCode>
                <c:ptCount val="97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</c:v>
                </c:pt>
                <c:pt idx="51">
                  <c:v>36</c:v>
                </c:pt>
                <c:pt idx="52">
                  <c:v>36</c:v>
                </c:pt>
                <c:pt idx="53">
                  <c:v>36</c:v>
                </c:pt>
                <c:pt idx="54">
                  <c:v>36</c:v>
                </c:pt>
                <c:pt idx="55">
                  <c:v>36</c:v>
                </c:pt>
                <c:pt idx="56">
                  <c:v>36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36</c:v>
                </c:pt>
                <c:pt idx="96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84-4732-AC36-BB35056F5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985536"/>
        <c:axId val="81987072"/>
      </c:lineChart>
      <c:catAx>
        <c:axId val="81985536"/>
        <c:scaling>
          <c:orientation val="minMax"/>
        </c:scaling>
        <c:delete val="0"/>
        <c:axPos val="b"/>
        <c:majorGridlines/>
        <c:numFmt formatCode="ddd\ d\-mmm\ hh:mm" sourceLinked="0"/>
        <c:majorTickMark val="out"/>
        <c:minorTickMark val="in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81987072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1987072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81985536"/>
        <c:crosses val="autoZero"/>
        <c:crossBetween val="between"/>
      </c:valAx>
    </c:plotArea>
    <c:plotVisOnly val="0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NZ"/>
              <a:t>EN1568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Data!$Q$4</c:f>
              <c:strCache>
                <c:ptCount val="1"/>
                <c:pt idx="0">
                  <c:v>EN1568-Room probe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Data!$Q$5:$Q$101</c:f>
              <c:numCache>
                <c:formatCode>0.0</c:formatCode>
                <c:ptCount val="97"/>
                <c:pt idx="0">
                  <c:v>37.099998474121094</c:v>
                </c:pt>
                <c:pt idx="1">
                  <c:v>36.900001525878906</c:v>
                </c:pt>
                <c:pt idx="2">
                  <c:v>36.900001525878906</c:v>
                </c:pt>
                <c:pt idx="3">
                  <c:v>36.900001525878906</c:v>
                </c:pt>
                <c:pt idx="4">
                  <c:v>36.900001525878906</c:v>
                </c:pt>
                <c:pt idx="5">
                  <c:v>36.700000762939453</c:v>
                </c:pt>
                <c:pt idx="6">
                  <c:v>36.900001525878906</c:v>
                </c:pt>
                <c:pt idx="7">
                  <c:v>36.900001525878906</c:v>
                </c:pt>
                <c:pt idx="8">
                  <c:v>36.700000762939453</c:v>
                </c:pt>
                <c:pt idx="9">
                  <c:v>36.900001525878906</c:v>
                </c:pt>
                <c:pt idx="10">
                  <c:v>36.900001525878906</c:v>
                </c:pt>
                <c:pt idx="11">
                  <c:v>36.700000762939453</c:v>
                </c:pt>
                <c:pt idx="12">
                  <c:v>36.900001525878906</c:v>
                </c:pt>
                <c:pt idx="13">
                  <c:v>36.900001525878906</c:v>
                </c:pt>
                <c:pt idx="14">
                  <c:v>36.700000762939453</c:v>
                </c:pt>
                <c:pt idx="15">
                  <c:v>37.099998474121094</c:v>
                </c:pt>
                <c:pt idx="16">
                  <c:v>37.099998474121094</c:v>
                </c:pt>
                <c:pt idx="17">
                  <c:v>36.900001525878906</c:v>
                </c:pt>
                <c:pt idx="18">
                  <c:v>36.900001525878906</c:v>
                </c:pt>
                <c:pt idx="19">
                  <c:v>36.700000762939453</c:v>
                </c:pt>
                <c:pt idx="20">
                  <c:v>36.700000762939453</c:v>
                </c:pt>
                <c:pt idx="21">
                  <c:v>36.900001525878906</c:v>
                </c:pt>
                <c:pt idx="22">
                  <c:v>37.099998474121094</c:v>
                </c:pt>
                <c:pt idx="23">
                  <c:v>36.700000762939453</c:v>
                </c:pt>
                <c:pt idx="24">
                  <c:v>37.099998474121094</c:v>
                </c:pt>
                <c:pt idx="25">
                  <c:v>36.700000762939453</c:v>
                </c:pt>
                <c:pt idx="26">
                  <c:v>36.900001525878906</c:v>
                </c:pt>
                <c:pt idx="27">
                  <c:v>36.900001525878906</c:v>
                </c:pt>
                <c:pt idx="28">
                  <c:v>36.700000762939453</c:v>
                </c:pt>
                <c:pt idx="29">
                  <c:v>37.099998474121094</c:v>
                </c:pt>
                <c:pt idx="30">
                  <c:v>37.099998474121094</c:v>
                </c:pt>
                <c:pt idx="31">
                  <c:v>37.099998474121094</c:v>
                </c:pt>
                <c:pt idx="32">
                  <c:v>36.900001525878906</c:v>
                </c:pt>
                <c:pt idx="33">
                  <c:v>36.700000762939453</c:v>
                </c:pt>
                <c:pt idx="34">
                  <c:v>36.700000762939453</c:v>
                </c:pt>
                <c:pt idx="35">
                  <c:v>37.099998474121094</c:v>
                </c:pt>
                <c:pt idx="36">
                  <c:v>37.099998474121094</c:v>
                </c:pt>
                <c:pt idx="37">
                  <c:v>37.099998474121094</c:v>
                </c:pt>
                <c:pt idx="38">
                  <c:v>36.900001525878906</c:v>
                </c:pt>
                <c:pt idx="39">
                  <c:v>37.099998474121094</c:v>
                </c:pt>
                <c:pt idx="40">
                  <c:v>36.900001525878906</c:v>
                </c:pt>
                <c:pt idx="41">
                  <c:v>36.700000762939453</c:v>
                </c:pt>
                <c:pt idx="42">
                  <c:v>36.700000762939453</c:v>
                </c:pt>
                <c:pt idx="43">
                  <c:v>37.099998474121094</c:v>
                </c:pt>
                <c:pt idx="44">
                  <c:v>37.099998474121094</c:v>
                </c:pt>
                <c:pt idx="45">
                  <c:v>36.900001525878906</c:v>
                </c:pt>
                <c:pt idx="46">
                  <c:v>36.900001525878906</c:v>
                </c:pt>
                <c:pt idx="47">
                  <c:v>36.900001525878906</c:v>
                </c:pt>
                <c:pt idx="48">
                  <c:v>36.900001525878906</c:v>
                </c:pt>
                <c:pt idx="49">
                  <c:v>37.099998474121094</c:v>
                </c:pt>
                <c:pt idx="50">
                  <c:v>36.900001525878906</c:v>
                </c:pt>
                <c:pt idx="51">
                  <c:v>36.900001525878906</c:v>
                </c:pt>
                <c:pt idx="52">
                  <c:v>37.099998474121094</c:v>
                </c:pt>
                <c:pt idx="53">
                  <c:v>36.700000762939453</c:v>
                </c:pt>
                <c:pt idx="54">
                  <c:v>36.900001525878906</c:v>
                </c:pt>
                <c:pt idx="55">
                  <c:v>36.900001525878906</c:v>
                </c:pt>
                <c:pt idx="56">
                  <c:v>36.900001525878906</c:v>
                </c:pt>
                <c:pt idx="57">
                  <c:v>36.700000762939453</c:v>
                </c:pt>
                <c:pt idx="58">
                  <c:v>36.900001525878906</c:v>
                </c:pt>
                <c:pt idx="59">
                  <c:v>37.099998474121094</c:v>
                </c:pt>
                <c:pt idx="60">
                  <c:v>37.099998474121094</c:v>
                </c:pt>
                <c:pt idx="61">
                  <c:v>37.099998474121094</c:v>
                </c:pt>
                <c:pt idx="62">
                  <c:v>37.099998474121094</c:v>
                </c:pt>
                <c:pt idx="63">
                  <c:v>37.099998474121094</c:v>
                </c:pt>
                <c:pt idx="64">
                  <c:v>36.900001525878906</c:v>
                </c:pt>
                <c:pt idx="65">
                  <c:v>36.900001525878906</c:v>
                </c:pt>
                <c:pt idx="66">
                  <c:v>36.900001525878906</c:v>
                </c:pt>
                <c:pt idx="67">
                  <c:v>36.900001525878906</c:v>
                </c:pt>
                <c:pt idx="68">
                  <c:v>36.900001525878906</c:v>
                </c:pt>
                <c:pt idx="69">
                  <c:v>36.700000762939453</c:v>
                </c:pt>
                <c:pt idx="70">
                  <c:v>36.700000762939453</c:v>
                </c:pt>
                <c:pt idx="71">
                  <c:v>36.700000762939453</c:v>
                </c:pt>
                <c:pt idx="72">
                  <c:v>36.900001525878906</c:v>
                </c:pt>
                <c:pt idx="73">
                  <c:v>37.099998474121094</c:v>
                </c:pt>
                <c:pt idx="74">
                  <c:v>36.900001525878906</c:v>
                </c:pt>
                <c:pt idx="75">
                  <c:v>37.099998474121094</c:v>
                </c:pt>
                <c:pt idx="76">
                  <c:v>37.099998474121094</c:v>
                </c:pt>
                <c:pt idx="77">
                  <c:v>37.099998474121094</c:v>
                </c:pt>
                <c:pt idx="78">
                  <c:v>36.900001525878906</c:v>
                </c:pt>
                <c:pt idx="79">
                  <c:v>37.099998474121094</c:v>
                </c:pt>
                <c:pt idx="80">
                  <c:v>36.900001525878906</c:v>
                </c:pt>
                <c:pt idx="81">
                  <c:v>36.900001525878906</c:v>
                </c:pt>
                <c:pt idx="82">
                  <c:v>36.900001525878906</c:v>
                </c:pt>
                <c:pt idx="83">
                  <c:v>36.900001525878906</c:v>
                </c:pt>
                <c:pt idx="84">
                  <c:v>36.900001525878906</c:v>
                </c:pt>
                <c:pt idx="85">
                  <c:v>36.900001525878906</c:v>
                </c:pt>
                <c:pt idx="86">
                  <c:v>36.900001525878906</c:v>
                </c:pt>
                <c:pt idx="87">
                  <c:v>36.900001525878906</c:v>
                </c:pt>
                <c:pt idx="88">
                  <c:v>36.900001525878906</c:v>
                </c:pt>
                <c:pt idx="89">
                  <c:v>36.700000762939453</c:v>
                </c:pt>
                <c:pt idx="90">
                  <c:v>36.700000762939453</c:v>
                </c:pt>
                <c:pt idx="91">
                  <c:v>36.900001525878906</c:v>
                </c:pt>
                <c:pt idx="92">
                  <c:v>36.900001525878906</c:v>
                </c:pt>
                <c:pt idx="93">
                  <c:v>37.099998474121094</c:v>
                </c:pt>
                <c:pt idx="94">
                  <c:v>36.900001525878906</c:v>
                </c:pt>
                <c:pt idx="95">
                  <c:v>36.900001525878906</c:v>
                </c:pt>
                <c:pt idx="96">
                  <c:v>37.099998474121094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5D-4E01-9F87-9F38EC699BA2}"/>
            </c:ext>
          </c:extLst>
        </c:ser>
        <c:ser>
          <c:idx val="1"/>
          <c:order val="1"/>
          <c:tx>
            <c:strRef>
              <c:f>Data!$R$4</c:f>
              <c:strCache>
                <c:ptCount val="1"/>
                <c:pt idx="0">
                  <c:v>EN1568 Lower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Data!$R$5:$R$101</c:f>
              <c:numCache>
                <c:formatCode>0.0</c:formatCode>
                <c:ptCount val="97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36</c:v>
                </c:pt>
                <c:pt idx="8">
                  <c:v>36</c:v>
                </c:pt>
                <c:pt idx="9">
                  <c:v>36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36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</c:v>
                </c:pt>
                <c:pt idx="51">
                  <c:v>36</c:v>
                </c:pt>
                <c:pt idx="52">
                  <c:v>36</c:v>
                </c:pt>
                <c:pt idx="53">
                  <c:v>36</c:v>
                </c:pt>
                <c:pt idx="54">
                  <c:v>36</c:v>
                </c:pt>
                <c:pt idx="55">
                  <c:v>36</c:v>
                </c:pt>
                <c:pt idx="56">
                  <c:v>36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36</c:v>
                </c:pt>
                <c:pt idx="61">
                  <c:v>36</c:v>
                </c:pt>
                <c:pt idx="62">
                  <c:v>36</c:v>
                </c:pt>
                <c:pt idx="63">
                  <c:v>36</c:v>
                </c:pt>
                <c:pt idx="64">
                  <c:v>36</c:v>
                </c:pt>
                <c:pt idx="65">
                  <c:v>36</c:v>
                </c:pt>
                <c:pt idx="66">
                  <c:v>36</c:v>
                </c:pt>
                <c:pt idx="67">
                  <c:v>36</c:v>
                </c:pt>
                <c:pt idx="68">
                  <c:v>36</c:v>
                </c:pt>
                <c:pt idx="69">
                  <c:v>36</c:v>
                </c:pt>
                <c:pt idx="70">
                  <c:v>36</c:v>
                </c:pt>
                <c:pt idx="71">
                  <c:v>36</c:v>
                </c:pt>
                <c:pt idx="72">
                  <c:v>36</c:v>
                </c:pt>
                <c:pt idx="73">
                  <c:v>36</c:v>
                </c:pt>
                <c:pt idx="74">
                  <c:v>36</c:v>
                </c:pt>
                <c:pt idx="75">
                  <c:v>36</c:v>
                </c:pt>
                <c:pt idx="76">
                  <c:v>36</c:v>
                </c:pt>
                <c:pt idx="77">
                  <c:v>36</c:v>
                </c:pt>
                <c:pt idx="78">
                  <c:v>36</c:v>
                </c:pt>
                <c:pt idx="79">
                  <c:v>36</c:v>
                </c:pt>
                <c:pt idx="80">
                  <c:v>36</c:v>
                </c:pt>
                <c:pt idx="81">
                  <c:v>36</c:v>
                </c:pt>
                <c:pt idx="82">
                  <c:v>36</c:v>
                </c:pt>
                <c:pt idx="83">
                  <c:v>36</c:v>
                </c:pt>
                <c:pt idx="84">
                  <c:v>36</c:v>
                </c:pt>
                <c:pt idx="85">
                  <c:v>36</c:v>
                </c:pt>
                <c:pt idx="86">
                  <c:v>36</c:v>
                </c:pt>
                <c:pt idx="87">
                  <c:v>36</c:v>
                </c:pt>
                <c:pt idx="88">
                  <c:v>36</c:v>
                </c:pt>
                <c:pt idx="89">
                  <c:v>36</c:v>
                </c:pt>
                <c:pt idx="90">
                  <c:v>36</c:v>
                </c:pt>
                <c:pt idx="91">
                  <c:v>36</c:v>
                </c:pt>
                <c:pt idx="92">
                  <c:v>36</c:v>
                </c:pt>
                <c:pt idx="93">
                  <c:v>36</c:v>
                </c:pt>
                <c:pt idx="94">
                  <c:v>36</c:v>
                </c:pt>
                <c:pt idx="95">
                  <c:v>36</c:v>
                </c:pt>
                <c:pt idx="96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5D-4E01-9F87-9F38EC699BA2}"/>
            </c:ext>
          </c:extLst>
        </c:ser>
        <c:ser>
          <c:idx val="2"/>
          <c:order val="2"/>
          <c:tx>
            <c:strRef>
              <c:f>Data!$S$4</c:f>
              <c:strCache>
                <c:ptCount val="1"/>
                <c:pt idx="0">
                  <c:v>EN1568 Higher</c:v>
                </c:pt>
              </c:strCache>
            </c:strRef>
          </c:tx>
          <c:marker>
            <c:symbol val="none"/>
          </c:marker>
          <c:cat>
            <c:numRef>
              <c:f>Data!$A$5:$A$101</c:f>
              <c:numCache>
                <c:formatCode>h:mm</c:formatCode>
                <c:ptCount val="97"/>
                <c:pt idx="0">
                  <c:v>44686.25</c:v>
                </c:pt>
                <c:pt idx="1">
                  <c:v>44686.260416666664</c:v>
                </c:pt>
                <c:pt idx="2">
                  <c:v>44686.270833333328</c:v>
                </c:pt>
                <c:pt idx="3">
                  <c:v>44686.281249999993</c:v>
                </c:pt>
                <c:pt idx="4">
                  <c:v>44686.291666666657</c:v>
                </c:pt>
                <c:pt idx="5">
                  <c:v>44686.302083333321</c:v>
                </c:pt>
                <c:pt idx="6">
                  <c:v>44686.312499999985</c:v>
                </c:pt>
                <c:pt idx="7">
                  <c:v>44686.32291666665</c:v>
                </c:pt>
                <c:pt idx="8">
                  <c:v>44686.333333333314</c:v>
                </c:pt>
                <c:pt idx="9">
                  <c:v>44686.343749999978</c:v>
                </c:pt>
                <c:pt idx="10">
                  <c:v>44686.354166666642</c:v>
                </c:pt>
                <c:pt idx="11">
                  <c:v>44686.364583333307</c:v>
                </c:pt>
                <c:pt idx="12">
                  <c:v>44686.374999999971</c:v>
                </c:pt>
                <c:pt idx="13">
                  <c:v>44686.385416666635</c:v>
                </c:pt>
                <c:pt idx="14">
                  <c:v>44686.395833333299</c:v>
                </c:pt>
                <c:pt idx="15">
                  <c:v>44686.406249999964</c:v>
                </c:pt>
                <c:pt idx="16">
                  <c:v>44686.416666666628</c:v>
                </c:pt>
                <c:pt idx="17">
                  <c:v>44686.427083333292</c:v>
                </c:pt>
                <c:pt idx="18">
                  <c:v>44686.437499999956</c:v>
                </c:pt>
                <c:pt idx="19">
                  <c:v>44686.447916666621</c:v>
                </c:pt>
                <c:pt idx="20">
                  <c:v>44686.458333333285</c:v>
                </c:pt>
                <c:pt idx="21">
                  <c:v>44686.468749999949</c:v>
                </c:pt>
                <c:pt idx="22">
                  <c:v>44686.479166666613</c:v>
                </c:pt>
                <c:pt idx="23">
                  <c:v>44686.489583333278</c:v>
                </c:pt>
                <c:pt idx="24">
                  <c:v>44686.499999999942</c:v>
                </c:pt>
                <c:pt idx="25">
                  <c:v>44686.510416666606</c:v>
                </c:pt>
                <c:pt idx="26">
                  <c:v>44686.52083333327</c:v>
                </c:pt>
                <c:pt idx="27">
                  <c:v>44686.531249999935</c:v>
                </c:pt>
                <c:pt idx="28">
                  <c:v>44686.541666666599</c:v>
                </c:pt>
                <c:pt idx="29">
                  <c:v>44686.552083333263</c:v>
                </c:pt>
                <c:pt idx="30">
                  <c:v>44686.562499999927</c:v>
                </c:pt>
                <c:pt idx="31">
                  <c:v>44686.572916666591</c:v>
                </c:pt>
                <c:pt idx="32">
                  <c:v>44686.583333333256</c:v>
                </c:pt>
                <c:pt idx="33">
                  <c:v>44686.59374999992</c:v>
                </c:pt>
                <c:pt idx="34">
                  <c:v>44686.604166666584</c:v>
                </c:pt>
                <c:pt idx="35">
                  <c:v>44686.614583333248</c:v>
                </c:pt>
                <c:pt idx="36">
                  <c:v>44686.624999999913</c:v>
                </c:pt>
                <c:pt idx="37">
                  <c:v>44686.635416666577</c:v>
                </c:pt>
                <c:pt idx="38">
                  <c:v>44686.645833333241</c:v>
                </c:pt>
                <c:pt idx="39">
                  <c:v>44686.656249999905</c:v>
                </c:pt>
                <c:pt idx="40">
                  <c:v>44686.66666666657</c:v>
                </c:pt>
                <c:pt idx="41">
                  <c:v>44686.677083333234</c:v>
                </c:pt>
                <c:pt idx="42">
                  <c:v>44686.687499999898</c:v>
                </c:pt>
                <c:pt idx="43">
                  <c:v>44686.697916666562</c:v>
                </c:pt>
                <c:pt idx="44">
                  <c:v>44686.708333333227</c:v>
                </c:pt>
                <c:pt idx="45">
                  <c:v>44686.718749999891</c:v>
                </c:pt>
                <c:pt idx="46">
                  <c:v>44686.729166666555</c:v>
                </c:pt>
                <c:pt idx="47">
                  <c:v>44686.739583333219</c:v>
                </c:pt>
                <c:pt idx="48">
                  <c:v>44686.749999999884</c:v>
                </c:pt>
                <c:pt idx="49">
                  <c:v>44686.760416666548</c:v>
                </c:pt>
                <c:pt idx="50">
                  <c:v>44686.770833333212</c:v>
                </c:pt>
                <c:pt idx="51">
                  <c:v>44686.781249999876</c:v>
                </c:pt>
                <c:pt idx="52">
                  <c:v>44686.791666666541</c:v>
                </c:pt>
                <c:pt idx="53">
                  <c:v>44686.802083333205</c:v>
                </c:pt>
                <c:pt idx="54">
                  <c:v>44686.812499999869</c:v>
                </c:pt>
                <c:pt idx="55">
                  <c:v>44686.822916666533</c:v>
                </c:pt>
                <c:pt idx="56">
                  <c:v>44686.833333333198</c:v>
                </c:pt>
                <c:pt idx="57">
                  <c:v>44686.843749999862</c:v>
                </c:pt>
                <c:pt idx="58">
                  <c:v>44686.854166666526</c:v>
                </c:pt>
                <c:pt idx="59">
                  <c:v>44686.86458333319</c:v>
                </c:pt>
                <c:pt idx="60">
                  <c:v>44686.874999999854</c:v>
                </c:pt>
                <c:pt idx="61">
                  <c:v>44686.885416666519</c:v>
                </c:pt>
                <c:pt idx="62">
                  <c:v>44686.895833333183</c:v>
                </c:pt>
                <c:pt idx="63">
                  <c:v>44686.906249999847</c:v>
                </c:pt>
                <c:pt idx="64">
                  <c:v>44686.916666666511</c:v>
                </c:pt>
                <c:pt idx="65">
                  <c:v>44686.927083333176</c:v>
                </c:pt>
                <c:pt idx="66">
                  <c:v>44686.93749999984</c:v>
                </c:pt>
                <c:pt idx="67">
                  <c:v>44686.947916666504</c:v>
                </c:pt>
                <c:pt idx="68">
                  <c:v>44686.958333333168</c:v>
                </c:pt>
                <c:pt idx="69">
                  <c:v>44686.968749999833</c:v>
                </c:pt>
                <c:pt idx="70">
                  <c:v>44686.979166666497</c:v>
                </c:pt>
                <c:pt idx="71">
                  <c:v>44686.989583333161</c:v>
                </c:pt>
                <c:pt idx="72">
                  <c:v>44686.999999999825</c:v>
                </c:pt>
                <c:pt idx="73">
                  <c:v>44687.01041666649</c:v>
                </c:pt>
                <c:pt idx="74">
                  <c:v>44687.020833333154</c:v>
                </c:pt>
                <c:pt idx="75">
                  <c:v>44687.031249999818</c:v>
                </c:pt>
                <c:pt idx="76">
                  <c:v>44687.041666666482</c:v>
                </c:pt>
                <c:pt idx="77">
                  <c:v>44687.052083333147</c:v>
                </c:pt>
                <c:pt idx="78">
                  <c:v>44687.062499999811</c:v>
                </c:pt>
                <c:pt idx="79">
                  <c:v>44687.072916666475</c:v>
                </c:pt>
                <c:pt idx="80">
                  <c:v>44687.083333333139</c:v>
                </c:pt>
                <c:pt idx="81">
                  <c:v>44687.093749999804</c:v>
                </c:pt>
                <c:pt idx="82">
                  <c:v>44687.104166666468</c:v>
                </c:pt>
                <c:pt idx="83">
                  <c:v>44687.114583333132</c:v>
                </c:pt>
                <c:pt idx="84">
                  <c:v>44687.124999999796</c:v>
                </c:pt>
                <c:pt idx="85">
                  <c:v>44687.135416666461</c:v>
                </c:pt>
                <c:pt idx="86">
                  <c:v>44687.145833333125</c:v>
                </c:pt>
                <c:pt idx="87">
                  <c:v>44687.156249999789</c:v>
                </c:pt>
                <c:pt idx="88">
                  <c:v>44687.166666666453</c:v>
                </c:pt>
                <c:pt idx="89">
                  <c:v>44687.177083333117</c:v>
                </c:pt>
                <c:pt idx="90">
                  <c:v>44687.187499999782</c:v>
                </c:pt>
                <c:pt idx="91">
                  <c:v>44687.197916666446</c:v>
                </c:pt>
                <c:pt idx="92">
                  <c:v>44687.20833333311</c:v>
                </c:pt>
                <c:pt idx="93">
                  <c:v>44687.218749999774</c:v>
                </c:pt>
                <c:pt idx="94">
                  <c:v>44687.229166666439</c:v>
                </c:pt>
                <c:pt idx="95">
                  <c:v>44687.239583333103</c:v>
                </c:pt>
                <c:pt idx="96">
                  <c:v>44687.249999999767</c:v>
                </c:pt>
              </c:numCache>
            </c:numRef>
          </c:cat>
          <c:val>
            <c:numRef>
              <c:f>Data!$S$5:$S$101</c:f>
              <c:numCache>
                <c:formatCode>0.0</c:formatCode>
                <c:ptCount val="97"/>
                <c:pt idx="0">
                  <c:v>38</c:v>
                </c:pt>
                <c:pt idx="1">
                  <c:v>38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38</c:v>
                </c:pt>
                <c:pt idx="6">
                  <c:v>38</c:v>
                </c:pt>
                <c:pt idx="7">
                  <c:v>38</c:v>
                </c:pt>
                <c:pt idx="8">
                  <c:v>38</c:v>
                </c:pt>
                <c:pt idx="9">
                  <c:v>38</c:v>
                </c:pt>
                <c:pt idx="10">
                  <c:v>38</c:v>
                </c:pt>
                <c:pt idx="11">
                  <c:v>38</c:v>
                </c:pt>
                <c:pt idx="12">
                  <c:v>38</c:v>
                </c:pt>
                <c:pt idx="13">
                  <c:v>38</c:v>
                </c:pt>
                <c:pt idx="14">
                  <c:v>38</c:v>
                </c:pt>
                <c:pt idx="15">
                  <c:v>38</c:v>
                </c:pt>
                <c:pt idx="16">
                  <c:v>38</c:v>
                </c:pt>
                <c:pt idx="17">
                  <c:v>38</c:v>
                </c:pt>
                <c:pt idx="18">
                  <c:v>38</c:v>
                </c:pt>
                <c:pt idx="19">
                  <c:v>38</c:v>
                </c:pt>
                <c:pt idx="20">
                  <c:v>38</c:v>
                </c:pt>
                <c:pt idx="21">
                  <c:v>38</c:v>
                </c:pt>
                <c:pt idx="22">
                  <c:v>38</c:v>
                </c:pt>
                <c:pt idx="23">
                  <c:v>38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</c:v>
                </c:pt>
                <c:pt idx="30">
                  <c:v>38</c:v>
                </c:pt>
                <c:pt idx="31">
                  <c:v>38</c:v>
                </c:pt>
                <c:pt idx="32">
                  <c:v>38</c:v>
                </c:pt>
                <c:pt idx="33">
                  <c:v>38</c:v>
                </c:pt>
                <c:pt idx="34">
                  <c:v>38</c:v>
                </c:pt>
                <c:pt idx="35">
                  <c:v>38</c:v>
                </c:pt>
                <c:pt idx="36">
                  <c:v>38</c:v>
                </c:pt>
                <c:pt idx="37">
                  <c:v>38</c:v>
                </c:pt>
                <c:pt idx="38">
                  <c:v>38</c:v>
                </c:pt>
                <c:pt idx="39">
                  <c:v>38</c:v>
                </c:pt>
                <c:pt idx="40">
                  <c:v>38</c:v>
                </c:pt>
                <c:pt idx="41">
                  <c:v>38</c:v>
                </c:pt>
                <c:pt idx="42">
                  <c:v>38</c:v>
                </c:pt>
                <c:pt idx="43">
                  <c:v>38</c:v>
                </c:pt>
                <c:pt idx="44">
                  <c:v>38</c:v>
                </c:pt>
                <c:pt idx="45">
                  <c:v>38</c:v>
                </c:pt>
                <c:pt idx="46">
                  <c:v>38</c:v>
                </c:pt>
                <c:pt idx="47">
                  <c:v>38</c:v>
                </c:pt>
                <c:pt idx="48">
                  <c:v>38</c:v>
                </c:pt>
                <c:pt idx="49">
                  <c:v>38</c:v>
                </c:pt>
                <c:pt idx="50">
                  <c:v>38</c:v>
                </c:pt>
                <c:pt idx="51">
                  <c:v>38</c:v>
                </c:pt>
                <c:pt idx="52">
                  <c:v>38</c:v>
                </c:pt>
                <c:pt idx="53">
                  <c:v>38</c:v>
                </c:pt>
                <c:pt idx="54">
                  <c:v>38</c:v>
                </c:pt>
                <c:pt idx="55">
                  <c:v>38</c:v>
                </c:pt>
                <c:pt idx="56">
                  <c:v>38</c:v>
                </c:pt>
                <c:pt idx="57">
                  <c:v>38</c:v>
                </c:pt>
                <c:pt idx="58">
                  <c:v>38</c:v>
                </c:pt>
                <c:pt idx="59">
                  <c:v>38</c:v>
                </c:pt>
                <c:pt idx="60">
                  <c:v>38</c:v>
                </c:pt>
                <c:pt idx="61">
                  <c:v>38</c:v>
                </c:pt>
                <c:pt idx="62">
                  <c:v>38</c:v>
                </c:pt>
                <c:pt idx="63">
                  <c:v>38</c:v>
                </c:pt>
                <c:pt idx="64">
                  <c:v>38</c:v>
                </c:pt>
                <c:pt idx="65">
                  <c:v>38</c:v>
                </c:pt>
                <c:pt idx="66">
                  <c:v>38</c:v>
                </c:pt>
                <c:pt idx="67">
                  <c:v>38</c:v>
                </c:pt>
                <c:pt idx="68">
                  <c:v>38</c:v>
                </c:pt>
                <c:pt idx="69">
                  <c:v>38</c:v>
                </c:pt>
                <c:pt idx="70">
                  <c:v>38</c:v>
                </c:pt>
                <c:pt idx="71">
                  <c:v>38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38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5D-4E01-9F87-9F38EC699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021760"/>
        <c:axId val="82027648"/>
      </c:lineChart>
      <c:catAx>
        <c:axId val="82021760"/>
        <c:scaling>
          <c:orientation val="minMax"/>
        </c:scaling>
        <c:delete val="0"/>
        <c:axPos val="b"/>
        <c:majorGridlines/>
        <c:numFmt formatCode="ddd\ d\-mmm\ hh:mm" sourceLinked="0"/>
        <c:majorTickMark val="out"/>
        <c:minorTickMark val="in"/>
        <c:tickLblPos val="nextTo"/>
        <c:txPr>
          <a:bodyPr rot="-2700000"/>
          <a:lstStyle/>
          <a:p>
            <a:pPr>
              <a:defRPr/>
            </a:pPr>
            <a:endParaRPr lang="en-US"/>
          </a:p>
        </c:txPr>
        <c:crossAx val="82027648"/>
        <c:crosses val="autoZero"/>
        <c:auto val="1"/>
        <c:lblAlgn val="ctr"/>
        <c:lblOffset val="100"/>
        <c:tickLblSkip val="4"/>
        <c:tickMarkSkip val="4"/>
        <c:noMultiLvlLbl val="0"/>
      </c:catAx>
      <c:valAx>
        <c:axId val="82027648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82021760"/>
        <c:crosses val="autoZero"/>
        <c:crossBetween val="between"/>
      </c:valAx>
    </c:plotArea>
    <c:plotVisOnly val="0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 codeName="Chart7">
    <tabColor theme="5"/>
  </sheetPr>
  <sheetViews>
    <sheetView zoomScale="14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Chart2">
    <tabColor theme="5"/>
  </sheetPr>
  <sheetViews>
    <sheetView zoomScale="14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Chart1">
    <tabColor theme="5"/>
  </sheetPr>
  <sheetViews>
    <sheetView zoomScale="14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Chart5">
    <tabColor theme="4"/>
  </sheetPr>
  <sheetViews>
    <sheetView zoomScale="14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Chart4">
    <tabColor theme="4"/>
  </sheetPr>
  <sheetViews>
    <sheetView zoomScale="14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Chart3">
    <tabColor theme="4"/>
  </sheetPr>
  <sheetViews>
    <sheetView zoomScale="14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Chart6">
    <tabColor theme="4"/>
  </sheetPr>
  <sheetViews>
    <sheetView zoomScale="14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6182" cy="608184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6182" cy="608184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843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843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843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843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4694" cy="608433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Log" displayName="DataLog" ref="A4:V101" totalsRowShown="0" headerRowDxfId="22">
  <autoFilter ref="A4:V101" xr:uid="{00000000-0009-0000-0100-000001000000}"/>
  <tableColumns count="22">
    <tableColumn id="1" xr3:uid="{00000000-0010-0000-0000-000001000000}" name="Time" dataDxfId="21">
      <calculatedColumnFormula>reportDate+TIME(0,15,0)</calculatedColumnFormula>
    </tableColumn>
    <tableColumn id="2" xr3:uid="{00000000-0010-0000-0000-000002000000}" name="EN1604-Room probe" dataDxfId="20">
      <calculatedColumnFormula>VLOOKUP("l" &amp; B$3 &amp; TEXT(DataLog[[#This Row],[Time]],"yyyymmddhhmmss"),DataTable!$A:$B,2,FALSE)</calculatedColumnFormula>
    </tableColumn>
    <tableColumn id="10" xr3:uid="{00000000-0010-0000-0000-00000A000000}" name="EN1604 Lower" dataDxfId="19">
      <calculatedColumnFormula>C$3-1</calculatedColumnFormula>
    </tableColumn>
    <tableColumn id="9" xr3:uid="{00000000-0010-0000-0000-000009000000}" name="EN1604 Higher" dataDxfId="18">
      <calculatedColumnFormula>D$3+1</calculatedColumnFormula>
    </tableColumn>
    <tableColumn id="3" xr3:uid="{00000000-0010-0000-0000-000003000000}" name="EN1605-Room probe" dataDxfId="17">
      <calculatedColumnFormula>VLOOKUP("l" &amp; E$3 &amp; TEXT(DataLog[[#This Row],[Time]],"yyyymmddhhmmss"),DataTable!$A:$B,2,FALSE)</calculatedColumnFormula>
    </tableColumn>
    <tableColumn id="22" xr3:uid="{00000000-0010-0000-0000-000016000000}" name="EN1605 Lower" dataDxfId="16">
      <calculatedColumnFormula>F$3-1</calculatedColumnFormula>
    </tableColumn>
    <tableColumn id="21" xr3:uid="{00000000-0010-0000-0000-000015000000}" name="EN1605 Higher" dataDxfId="15">
      <calculatedColumnFormula>G$3+1</calculatedColumnFormula>
    </tableColumn>
    <tableColumn id="4" xr3:uid="{00000000-0010-0000-0000-000004000000}" name="EN1569-Room probe" dataDxfId="14">
      <calculatedColumnFormula>VLOOKUP("l" &amp; H$3 &amp; TEXT(DataLog[[#This Row],[Time]],"yyyymmddhhmmss"),DataTable!$A:$B,2,FALSE)</calculatedColumnFormula>
    </tableColumn>
    <tableColumn id="20" xr3:uid="{00000000-0010-0000-0000-000014000000}" name="EN1569 Lower" dataDxfId="13">
      <calculatedColumnFormula>I$3-1</calculatedColumnFormula>
    </tableColumn>
    <tableColumn id="19" xr3:uid="{00000000-0010-0000-0000-000013000000}" name="EN1569 Higher" dataDxfId="12">
      <calculatedColumnFormula>J$3+1</calculatedColumnFormula>
    </tableColumn>
    <tableColumn id="5" xr3:uid="{00000000-0010-0000-0000-000005000000}" name="EN1570-Room probe" dataDxfId="11">
      <calculatedColumnFormula>VLOOKUP("l" &amp; K$3 &amp; TEXT(DataLog[[#This Row],[Time]],"yyyymmddhhmmss"),DataTable!$A:$B,2,FALSE)</calculatedColumnFormula>
    </tableColumn>
    <tableColumn id="18" xr3:uid="{00000000-0010-0000-0000-000012000000}" name="EN1570 Lower" dataDxfId="10">
      <calculatedColumnFormula>L$3-1</calculatedColumnFormula>
    </tableColumn>
    <tableColumn id="17" xr3:uid="{00000000-0010-0000-0000-000011000000}" name="EN1570 Higher" dataDxfId="9">
      <calculatedColumnFormula>M$3+1</calculatedColumnFormula>
    </tableColumn>
    <tableColumn id="6" xr3:uid="{00000000-0010-0000-0000-000006000000}" name="EN1571-Room probe" dataDxfId="8">
      <calculatedColumnFormula>VLOOKUP("l" &amp; N$3 &amp; TEXT(DataLog[[#This Row],[Time]],"yyyymmddhhmmss"),DataTable!$A:$B,2,FALSE)</calculatedColumnFormula>
    </tableColumn>
    <tableColumn id="16" xr3:uid="{00000000-0010-0000-0000-000010000000}" name="EN1571 Lower" dataDxfId="7">
      <calculatedColumnFormula>O$3-1</calculatedColumnFormula>
    </tableColumn>
    <tableColumn id="15" xr3:uid="{00000000-0010-0000-0000-00000F000000}" name="EN1571 Higher" dataDxfId="6">
      <calculatedColumnFormula>P$3+1</calculatedColumnFormula>
    </tableColumn>
    <tableColumn id="7" xr3:uid="{00000000-0010-0000-0000-000007000000}" name="EN1568-Room probe" dataDxfId="5">
      <calculatedColumnFormula>VLOOKUP("l" &amp; Q$3 &amp; TEXT(DataLog[[#This Row],[Time]],"yyyymmddhhmmss"),DataTable!$A:$B,2,FALSE)</calculatedColumnFormula>
    </tableColumn>
    <tableColumn id="14" xr3:uid="{00000000-0010-0000-0000-00000E000000}" name="EN1568 Lower" dataDxfId="4">
      <calculatedColumnFormula>R$3-1</calculatedColumnFormula>
    </tableColumn>
    <tableColumn id="13" xr3:uid="{00000000-0010-0000-0000-00000D000000}" name="EN1568 Higher" dataDxfId="3">
      <calculatedColumnFormula>S$3+1</calculatedColumnFormula>
    </tableColumn>
    <tableColumn id="8" xr3:uid="{00000000-0010-0000-0000-000008000000}" name="EN1606-Room probe" dataDxfId="2">
      <calculatedColumnFormula>VLOOKUP("l" &amp; T$3 &amp; TEXT(DataLog[[#This Row],[Time]],"yyyymmddhhmmss"),DataTable!$A:$B,2,FALSE)</calculatedColumnFormula>
    </tableColumn>
    <tableColumn id="12" xr3:uid="{00000000-0010-0000-0000-00000C000000}" name="EN1606 Lower" dataDxfId="1">
      <calculatedColumnFormula>U$3-1</calculatedColumnFormula>
    </tableColumn>
    <tableColumn id="11" xr3:uid="{00000000-0010-0000-0000-00000B000000}" name="EN1606 Higher" dataDxfId="0">
      <calculatedColumnFormula>V$3+1</calculatedColumnFormula>
    </tableColumn>
  </tableColumns>
  <tableStyleInfo name="TableStyleMedium2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V101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19" sqref="H19"/>
    </sheetView>
  </sheetViews>
  <sheetFormatPr defaultRowHeight="15" x14ac:dyDescent="0.25"/>
  <cols>
    <col min="1" max="1" width="11.7109375" bestFit="1" customWidth="1"/>
    <col min="2" max="2" width="21.140625" customWidth="1"/>
    <col min="3" max="3" width="15.7109375" hidden="1" customWidth="1"/>
    <col min="4" max="4" width="16.140625" hidden="1" customWidth="1"/>
    <col min="5" max="5" width="21.140625" customWidth="1"/>
    <col min="6" max="6" width="15.7109375" hidden="1" customWidth="1"/>
    <col min="7" max="7" width="16.140625" hidden="1" customWidth="1"/>
    <col min="8" max="8" width="21.140625" customWidth="1"/>
    <col min="9" max="9" width="15.7109375" hidden="1" customWidth="1"/>
    <col min="10" max="10" width="16.140625" hidden="1" customWidth="1"/>
    <col min="11" max="11" width="21.5703125" bestFit="1" customWidth="1"/>
    <col min="12" max="12" width="15.7109375" hidden="1" customWidth="1"/>
    <col min="13" max="13" width="16.140625" hidden="1" customWidth="1"/>
    <col min="14" max="14" width="21.5703125" bestFit="1" customWidth="1"/>
    <col min="15" max="15" width="15.7109375" hidden="1" customWidth="1"/>
    <col min="16" max="16" width="16.140625" hidden="1" customWidth="1"/>
    <col min="17" max="17" width="21.5703125" bestFit="1" customWidth="1"/>
    <col min="18" max="18" width="15.7109375" hidden="1" customWidth="1"/>
    <col min="19" max="19" width="16.140625" hidden="1" customWidth="1"/>
    <col min="20" max="20" width="21.5703125" bestFit="1" customWidth="1"/>
    <col min="21" max="21" width="15.7109375" hidden="1" customWidth="1"/>
    <col min="22" max="22" width="16.140625" hidden="1" customWidth="1"/>
  </cols>
  <sheetData>
    <row r="1" spans="1:22" s="3" customFormat="1" ht="18.75" x14ac:dyDescent="0.3">
      <c r="A1" s="2" t="s">
        <v>0</v>
      </c>
      <c r="B1" s="6">
        <v>44686</v>
      </c>
      <c r="C1" s="6"/>
      <c r="D1" s="6"/>
      <c r="V1" s="3">
        <f>COLUMN()</f>
        <v>22</v>
      </c>
    </row>
    <row r="3" spans="1:22" s="5" customFormat="1" x14ac:dyDescent="0.25">
      <c r="B3" s="5">
        <v>0</v>
      </c>
      <c r="C3" s="5">
        <v>37</v>
      </c>
      <c r="D3" s="5">
        <v>37</v>
      </c>
      <c r="E3" s="5">
        <v>2</v>
      </c>
      <c r="F3" s="5">
        <v>36</v>
      </c>
      <c r="G3" s="5">
        <v>36</v>
      </c>
      <c r="H3" s="5">
        <v>4</v>
      </c>
      <c r="I3" s="5">
        <v>35</v>
      </c>
      <c r="J3" s="5">
        <v>35</v>
      </c>
      <c r="K3" s="5">
        <v>6</v>
      </c>
      <c r="L3" s="5">
        <v>30</v>
      </c>
      <c r="M3" s="5">
        <v>30</v>
      </c>
      <c r="N3" s="5">
        <v>8</v>
      </c>
      <c r="O3" s="5">
        <v>25</v>
      </c>
      <c r="P3" s="5">
        <v>25</v>
      </c>
      <c r="Q3" s="5">
        <v>10</v>
      </c>
      <c r="R3" s="5">
        <v>37</v>
      </c>
      <c r="S3" s="5">
        <v>37</v>
      </c>
      <c r="T3" s="5">
        <v>12</v>
      </c>
      <c r="U3" s="5">
        <v>30</v>
      </c>
      <c r="V3" s="5">
        <v>30</v>
      </c>
    </row>
    <row r="4" spans="1:22" s="1" customFormat="1" x14ac:dyDescent="0.25">
      <c r="A4" s="1" t="s">
        <v>1</v>
      </c>
      <c r="B4" s="1" t="s">
        <v>2</v>
      </c>
      <c r="C4" s="1" t="s">
        <v>9</v>
      </c>
      <c r="D4" s="1" t="s">
        <v>10</v>
      </c>
      <c r="E4" s="1" t="s">
        <v>3</v>
      </c>
      <c r="F4" s="1" t="s">
        <v>11</v>
      </c>
      <c r="G4" s="1" t="s">
        <v>12</v>
      </c>
      <c r="H4" s="1" t="s">
        <v>4</v>
      </c>
      <c r="I4" s="1" t="s">
        <v>13</v>
      </c>
      <c r="J4" s="1" t="s">
        <v>14</v>
      </c>
      <c r="K4" s="1" t="s">
        <v>5</v>
      </c>
      <c r="L4" s="1" t="s">
        <v>15</v>
      </c>
      <c r="M4" s="1" t="s">
        <v>16</v>
      </c>
      <c r="N4" s="1" t="s">
        <v>6</v>
      </c>
      <c r="O4" s="1" t="s">
        <v>17</v>
      </c>
      <c r="P4" s="1" t="s">
        <v>18</v>
      </c>
      <c r="Q4" s="1" t="s">
        <v>7</v>
      </c>
      <c r="R4" s="1" t="s">
        <v>19</v>
      </c>
      <c r="S4" s="1" t="s">
        <v>20</v>
      </c>
      <c r="T4" s="1" t="s">
        <v>8</v>
      </c>
      <c r="U4" s="1" t="s">
        <v>21</v>
      </c>
      <c r="V4" s="1" t="s">
        <v>22</v>
      </c>
    </row>
    <row r="5" spans="1:22" x14ac:dyDescent="0.25">
      <c r="A5" s="4">
        <f>reportDate+TIME(6,0,0)</f>
        <v>44686.25</v>
      </c>
      <c r="B5" s="7">
        <f>VLOOKUP("l" &amp; B$3 &amp; TEXT(DataLog[[#This Row],[Time]],"yyyymmddhhmmss"),DataTable!$A:$B,2,FALSE)</f>
        <v>37.5</v>
      </c>
      <c r="C5" s="7">
        <f t="shared" ref="C5:C68" si="0">C$3-1</f>
        <v>36</v>
      </c>
      <c r="D5" s="7">
        <f t="shared" ref="D5:D20" si="1">D$3+1</f>
        <v>38</v>
      </c>
      <c r="E5" s="7">
        <f>VLOOKUP("l" &amp; E$3 &amp; TEXT(DataLog[[#This Row],[Time]],"yyyymmddhhmmss"),DataTable!$A:$B,2,FALSE)</f>
        <v>36.200000762939453</v>
      </c>
      <c r="F5" s="7">
        <f t="shared" ref="F5:F68" si="2">F$3-1</f>
        <v>35</v>
      </c>
      <c r="G5" s="7">
        <f t="shared" ref="G5:G20" si="3">G$3+1</f>
        <v>37</v>
      </c>
      <c r="H5" s="7">
        <f>VLOOKUP("l" &amp; H$3 &amp; TEXT(DataLog[[#This Row],[Time]],"yyyymmddhhmmss"),DataTable!$A:$B,2,FALSE)</f>
        <v>35</v>
      </c>
      <c r="I5" s="7">
        <f t="shared" ref="I5:I68" si="4">I$3-1</f>
        <v>34</v>
      </c>
      <c r="J5" s="7">
        <f t="shared" ref="J5:J68" si="5">J$3+1</f>
        <v>36</v>
      </c>
      <c r="K5" s="7">
        <f>VLOOKUP("l" &amp; K$3 &amp; TEXT(DataLog[[#This Row],[Time]],"yyyymmddhhmmss"),DataTable!$A:$B,2,FALSE)</f>
        <v>29.600000381469727</v>
      </c>
      <c r="L5" s="7">
        <f t="shared" ref="L5:L68" si="6">L$3-1</f>
        <v>29</v>
      </c>
      <c r="M5" s="7">
        <f t="shared" ref="M5:M68" si="7">M$3+1</f>
        <v>31</v>
      </c>
      <c r="N5" s="7">
        <f>VLOOKUP("l" &amp; N$3 &amp; TEXT(DataLog[[#This Row],[Time]],"yyyymmddhhmmss"),DataTable!$A:$B,2,FALSE)</f>
        <v>24.799999237060547</v>
      </c>
      <c r="O5" s="7">
        <f t="shared" ref="O5:O68" si="8">O$3-1</f>
        <v>24</v>
      </c>
      <c r="P5" s="7">
        <f t="shared" ref="P5:P68" si="9">P$3+1</f>
        <v>26</v>
      </c>
      <c r="Q5" s="7">
        <f>VLOOKUP("l" &amp; Q$3 &amp; TEXT(DataLog[[#This Row],[Time]],"yyyymmddhhmmss"),DataTable!$A:$B,2,FALSE)</f>
        <v>37.099998474121094</v>
      </c>
      <c r="R5" s="7">
        <f t="shared" ref="R5:R68" si="10">R$3-1</f>
        <v>36</v>
      </c>
      <c r="S5" s="7">
        <f t="shared" ref="S5:S68" si="11">S$3+1</f>
        <v>38</v>
      </c>
      <c r="T5" s="7">
        <f>VLOOKUP("l" &amp; T$3 &amp; TEXT(DataLog[[#This Row],[Time]],"yyyymmddhhmmss"),DataTable!$A:$B,2,FALSE)</f>
        <v>29.799999237060547</v>
      </c>
      <c r="U5" s="7">
        <f t="shared" ref="U5:U68" si="12">U$3-1</f>
        <v>29</v>
      </c>
      <c r="V5" s="7">
        <f t="shared" ref="V5:V68" si="13">V$3+1</f>
        <v>31</v>
      </c>
    </row>
    <row r="6" spans="1:22" x14ac:dyDescent="0.25">
      <c r="A6" s="4">
        <f>A5+TIME(0,15,0)</f>
        <v>44686.260416666664</v>
      </c>
      <c r="B6" s="7">
        <f>VLOOKUP("l" &amp; B$3 &amp; TEXT(DataLog[[#This Row],[Time]],"yyyymmddhhmmss"),DataTable!$A:$B,2,FALSE)</f>
        <v>37.299999237060547</v>
      </c>
      <c r="C6" s="7">
        <f t="shared" si="0"/>
        <v>36</v>
      </c>
      <c r="D6" s="7">
        <f t="shared" si="1"/>
        <v>38</v>
      </c>
      <c r="E6" s="7">
        <f>VLOOKUP("l" &amp; E$3 &amp; TEXT(DataLog[[#This Row],[Time]],"yyyymmddhhmmss"),DataTable!$A:$B,2,FALSE)</f>
        <v>35.599998474121094</v>
      </c>
      <c r="F6" s="7">
        <f t="shared" si="2"/>
        <v>35</v>
      </c>
      <c r="G6" s="7">
        <f t="shared" si="3"/>
        <v>37</v>
      </c>
      <c r="H6" s="7">
        <f>VLOOKUP("l" &amp; H$3 &amp; TEXT(DataLog[[#This Row],[Time]],"yyyymmddhhmmss"),DataTable!$A:$B,2,FALSE)</f>
        <v>35</v>
      </c>
      <c r="I6" s="7">
        <f t="shared" si="4"/>
        <v>34</v>
      </c>
      <c r="J6" s="7">
        <f t="shared" si="5"/>
        <v>36</v>
      </c>
      <c r="K6" s="7">
        <f>VLOOKUP("l" &amp; K$3 &amp; TEXT(DataLog[[#This Row],[Time]],"yyyymmddhhmmss"),DataTable!$A:$B,2,FALSE)</f>
        <v>29.600000381469727</v>
      </c>
      <c r="L6" s="7">
        <f t="shared" si="6"/>
        <v>29</v>
      </c>
      <c r="M6" s="7">
        <f t="shared" si="7"/>
        <v>31</v>
      </c>
      <c r="N6" s="7">
        <f>VLOOKUP("l" &amp; N$3 &amp; TEXT(DataLog[[#This Row],[Time]],"yyyymmddhhmmss"),DataTable!$A:$B,2,FALSE)</f>
        <v>24.399999618530273</v>
      </c>
      <c r="O6" s="7">
        <f t="shared" si="8"/>
        <v>24</v>
      </c>
      <c r="P6" s="7">
        <f t="shared" si="9"/>
        <v>26</v>
      </c>
      <c r="Q6" s="7">
        <f>VLOOKUP("l" &amp; Q$3 &amp; TEXT(DataLog[[#This Row],[Time]],"yyyymmddhhmmss"),DataTable!$A:$B,2,FALSE)</f>
        <v>36.900001525878906</v>
      </c>
      <c r="R6" s="7">
        <f t="shared" si="10"/>
        <v>36</v>
      </c>
      <c r="S6" s="7">
        <f t="shared" si="11"/>
        <v>38</v>
      </c>
      <c r="T6" s="7">
        <f>VLOOKUP("l" &amp; T$3 &amp; TEXT(DataLog[[#This Row],[Time]],"yyyymmddhhmmss"),DataTable!$A:$B,2,FALSE)</f>
        <v>30</v>
      </c>
      <c r="U6" s="7">
        <f t="shared" si="12"/>
        <v>29</v>
      </c>
      <c r="V6" s="7">
        <f t="shared" si="13"/>
        <v>31</v>
      </c>
    </row>
    <row r="7" spans="1:22" x14ac:dyDescent="0.25">
      <c r="A7" s="4">
        <f>A6+TIME(0,15,0)</f>
        <v>44686.270833333328</v>
      </c>
      <c r="B7" s="7">
        <f>VLOOKUP("l" &amp; B$3 &amp; TEXT(DataLog[[#This Row],[Time]],"yyyymmddhhmmss"),DataTable!$A:$B,2,FALSE)</f>
        <v>37.5</v>
      </c>
      <c r="C7" s="7">
        <f t="shared" si="0"/>
        <v>36</v>
      </c>
      <c r="D7" s="7">
        <f t="shared" si="1"/>
        <v>38</v>
      </c>
      <c r="E7" s="7">
        <f>VLOOKUP("l" &amp; E$3 &amp; TEXT(DataLog[[#This Row],[Time]],"yyyymmddhhmmss"),DataTable!$A:$B,2,FALSE)</f>
        <v>36.400001525878906</v>
      </c>
      <c r="F7" s="7">
        <f t="shared" si="2"/>
        <v>35</v>
      </c>
      <c r="G7" s="7">
        <f t="shared" si="3"/>
        <v>37</v>
      </c>
      <c r="H7" s="7">
        <f>VLOOKUP("l" &amp; H$3 &amp; TEXT(DataLog[[#This Row],[Time]],"yyyymmddhhmmss"),DataTable!$A:$B,2,FALSE)</f>
        <v>35</v>
      </c>
      <c r="I7" s="7">
        <f t="shared" si="4"/>
        <v>34</v>
      </c>
      <c r="J7" s="7">
        <f t="shared" si="5"/>
        <v>36</v>
      </c>
      <c r="K7" s="7">
        <f>VLOOKUP("l" &amp; K$3 &amp; TEXT(DataLog[[#This Row],[Time]],"yyyymmddhhmmss"),DataTable!$A:$B,2,FALSE)</f>
        <v>29.799999237060547</v>
      </c>
      <c r="L7" s="7">
        <f t="shared" si="6"/>
        <v>29</v>
      </c>
      <c r="M7" s="7">
        <f t="shared" si="7"/>
        <v>31</v>
      </c>
      <c r="N7" s="7">
        <f>VLOOKUP("l" &amp; N$3 &amp; TEXT(DataLog[[#This Row],[Time]],"yyyymmddhhmmss"),DataTable!$A:$B,2,FALSE)</f>
        <v>24.799999237060547</v>
      </c>
      <c r="O7" s="7">
        <f t="shared" si="8"/>
        <v>24</v>
      </c>
      <c r="P7" s="7">
        <f t="shared" si="9"/>
        <v>26</v>
      </c>
      <c r="Q7" s="7">
        <f>VLOOKUP("l" &amp; Q$3 &amp; TEXT(DataLog[[#This Row],[Time]],"yyyymmddhhmmss"),DataTable!$A:$B,2,FALSE)</f>
        <v>36.900001525878906</v>
      </c>
      <c r="R7" s="7">
        <f t="shared" si="10"/>
        <v>36</v>
      </c>
      <c r="S7" s="7">
        <f t="shared" si="11"/>
        <v>38</v>
      </c>
      <c r="T7" s="7">
        <f>VLOOKUP("l" &amp; T$3 &amp; TEXT(DataLog[[#This Row],[Time]],"yyyymmddhhmmss"),DataTable!$A:$B,2,FALSE)</f>
        <v>30.200000762939453</v>
      </c>
      <c r="U7" s="7">
        <f t="shared" si="12"/>
        <v>29</v>
      </c>
      <c r="V7" s="7">
        <f t="shared" si="13"/>
        <v>31</v>
      </c>
    </row>
    <row r="8" spans="1:22" x14ac:dyDescent="0.25">
      <c r="A8" s="4">
        <f t="shared" ref="A8:A71" si="14">A7+TIME(0,15,0)</f>
        <v>44686.281249999993</v>
      </c>
      <c r="B8" s="7">
        <f>VLOOKUP("l" &amp; B$3 &amp; TEXT(DataLog[[#This Row],[Time]],"yyyymmddhhmmss"),DataTable!$A:$B,2,FALSE)</f>
        <v>37.099998474121094</v>
      </c>
      <c r="C8" s="7">
        <f t="shared" si="0"/>
        <v>36</v>
      </c>
      <c r="D8" s="7">
        <f t="shared" si="1"/>
        <v>38</v>
      </c>
      <c r="E8" s="7">
        <f>VLOOKUP("l" &amp; E$3 &amp; TEXT(DataLog[[#This Row],[Time]],"yyyymmddhhmmss"),DataTable!$A:$B,2,FALSE)</f>
        <v>36.799999237060547</v>
      </c>
      <c r="F8" s="7">
        <f t="shared" si="2"/>
        <v>35</v>
      </c>
      <c r="G8" s="7">
        <f t="shared" si="3"/>
        <v>37</v>
      </c>
      <c r="H8" s="7">
        <f>VLOOKUP("l" &amp; H$3 &amp; TEXT(DataLog[[#This Row],[Time]],"yyyymmddhhmmss"),DataTable!$A:$B,2,FALSE)</f>
        <v>35</v>
      </c>
      <c r="I8" s="7">
        <f t="shared" si="4"/>
        <v>34</v>
      </c>
      <c r="J8" s="7">
        <f t="shared" si="5"/>
        <v>36</v>
      </c>
      <c r="K8" s="7">
        <f>VLOOKUP("l" &amp; K$3 &amp; TEXT(DataLog[[#This Row],[Time]],"yyyymmddhhmmss"),DataTable!$A:$B,2,FALSE)</f>
        <v>29.799999237060547</v>
      </c>
      <c r="L8" s="7">
        <f t="shared" si="6"/>
        <v>29</v>
      </c>
      <c r="M8" s="7">
        <f t="shared" si="7"/>
        <v>31</v>
      </c>
      <c r="N8" s="7">
        <f>VLOOKUP("l" &amp; N$3 &amp; TEXT(DataLog[[#This Row],[Time]],"yyyymmddhhmmss"),DataTable!$A:$B,2,FALSE)</f>
        <v>25</v>
      </c>
      <c r="O8" s="7">
        <f t="shared" si="8"/>
        <v>24</v>
      </c>
      <c r="P8" s="7">
        <f t="shared" si="9"/>
        <v>26</v>
      </c>
      <c r="Q8" s="7">
        <f>VLOOKUP("l" &amp; Q$3 &amp; TEXT(DataLog[[#This Row],[Time]],"yyyymmddhhmmss"),DataTable!$A:$B,2,FALSE)</f>
        <v>36.900001525878906</v>
      </c>
      <c r="R8" s="7">
        <f t="shared" si="10"/>
        <v>36</v>
      </c>
      <c r="S8" s="7">
        <f t="shared" si="11"/>
        <v>38</v>
      </c>
      <c r="T8" s="7">
        <f>VLOOKUP("l" &amp; T$3 &amp; TEXT(DataLog[[#This Row],[Time]],"yyyymmddhhmmss"),DataTable!$A:$B,2,FALSE)</f>
        <v>30.200000762939453</v>
      </c>
      <c r="U8" s="7">
        <f t="shared" si="12"/>
        <v>29</v>
      </c>
      <c r="V8" s="7">
        <f t="shared" si="13"/>
        <v>31</v>
      </c>
    </row>
    <row r="9" spans="1:22" x14ac:dyDescent="0.25">
      <c r="A9" s="4">
        <f t="shared" si="14"/>
        <v>44686.291666666657</v>
      </c>
      <c r="B9" s="7">
        <f>VLOOKUP("l" &amp; B$3 &amp; TEXT(DataLog[[#This Row],[Time]],"yyyymmddhhmmss"),DataTable!$A:$B,2,FALSE)</f>
        <v>37.700000762939453</v>
      </c>
      <c r="C9" s="7">
        <f t="shared" si="0"/>
        <v>36</v>
      </c>
      <c r="D9" s="7">
        <f t="shared" si="1"/>
        <v>38</v>
      </c>
      <c r="E9" s="7">
        <f>VLOOKUP("l" &amp; E$3 &amp; TEXT(DataLog[[#This Row],[Time]],"yyyymmddhhmmss"),DataTable!$A:$B,2,FALSE)</f>
        <v>36.400001525878906</v>
      </c>
      <c r="F9" s="7">
        <f t="shared" si="2"/>
        <v>35</v>
      </c>
      <c r="G9" s="7">
        <f t="shared" si="3"/>
        <v>37</v>
      </c>
      <c r="H9" s="7">
        <f>VLOOKUP("l" &amp; H$3 &amp; TEXT(DataLog[[#This Row],[Time]],"yyyymmddhhmmss"),DataTable!$A:$B,2,FALSE)</f>
        <v>35</v>
      </c>
      <c r="I9" s="7">
        <f t="shared" si="4"/>
        <v>34</v>
      </c>
      <c r="J9" s="7">
        <f t="shared" si="5"/>
        <v>36</v>
      </c>
      <c r="K9" s="7">
        <f>VLOOKUP("l" &amp; K$3 &amp; TEXT(DataLog[[#This Row],[Time]],"yyyymmddhhmmss"),DataTable!$A:$B,2,FALSE)</f>
        <v>29.799999237060547</v>
      </c>
      <c r="L9" s="7">
        <f t="shared" si="6"/>
        <v>29</v>
      </c>
      <c r="M9" s="7">
        <f t="shared" si="7"/>
        <v>31</v>
      </c>
      <c r="N9" s="7">
        <f>VLOOKUP("l" &amp; N$3 &amp; TEXT(DataLog[[#This Row],[Time]],"yyyymmddhhmmss"),DataTable!$A:$B,2,FALSE)</f>
        <v>25</v>
      </c>
      <c r="O9" s="7">
        <f t="shared" si="8"/>
        <v>24</v>
      </c>
      <c r="P9" s="7">
        <f t="shared" si="9"/>
        <v>26</v>
      </c>
      <c r="Q9" s="7">
        <f>VLOOKUP("l" &amp; Q$3 &amp; TEXT(DataLog[[#This Row],[Time]],"yyyymmddhhmmss"),DataTable!$A:$B,2,FALSE)</f>
        <v>36.900001525878906</v>
      </c>
      <c r="R9" s="7">
        <f t="shared" si="10"/>
        <v>36</v>
      </c>
      <c r="S9" s="7">
        <f t="shared" si="11"/>
        <v>38</v>
      </c>
      <c r="T9" s="7">
        <f>VLOOKUP("l" &amp; T$3 &amp; TEXT(DataLog[[#This Row],[Time]],"yyyymmddhhmmss"),DataTable!$A:$B,2,FALSE)</f>
        <v>30</v>
      </c>
      <c r="U9" s="7">
        <f t="shared" si="12"/>
        <v>29</v>
      </c>
      <c r="V9" s="7">
        <f t="shared" si="13"/>
        <v>31</v>
      </c>
    </row>
    <row r="10" spans="1:22" x14ac:dyDescent="0.25">
      <c r="A10" s="4">
        <f t="shared" si="14"/>
        <v>44686.302083333321</v>
      </c>
      <c r="B10" s="7">
        <f>VLOOKUP("l" &amp; B$3 &amp; TEXT(DataLog[[#This Row],[Time]],"yyyymmddhhmmss"),DataTable!$A:$B,2,FALSE)</f>
        <v>37.299999237060547</v>
      </c>
      <c r="C10" s="7">
        <f t="shared" si="0"/>
        <v>36</v>
      </c>
      <c r="D10" s="7">
        <f t="shared" si="1"/>
        <v>38</v>
      </c>
      <c r="E10" s="7">
        <f>VLOOKUP("l" &amp; E$3 &amp; TEXT(DataLog[[#This Row],[Time]],"yyyymmddhhmmss"),DataTable!$A:$B,2,FALSE)</f>
        <v>35.799999237060547</v>
      </c>
      <c r="F10" s="7">
        <f t="shared" si="2"/>
        <v>35</v>
      </c>
      <c r="G10" s="7">
        <f t="shared" si="3"/>
        <v>37</v>
      </c>
      <c r="H10" s="7">
        <f>VLOOKUP("l" &amp; H$3 &amp; TEXT(DataLog[[#This Row],[Time]],"yyyymmddhhmmss"),DataTable!$A:$B,2,FALSE)</f>
        <v>35</v>
      </c>
      <c r="I10" s="7">
        <f t="shared" si="4"/>
        <v>34</v>
      </c>
      <c r="J10" s="7">
        <f t="shared" si="5"/>
        <v>36</v>
      </c>
      <c r="K10" s="7">
        <f>VLOOKUP("l" &amp; K$3 &amp; TEXT(DataLog[[#This Row],[Time]],"yyyymmddhhmmss"),DataTable!$A:$B,2,FALSE)</f>
        <v>29.799999237060547</v>
      </c>
      <c r="L10" s="7">
        <f t="shared" si="6"/>
        <v>29</v>
      </c>
      <c r="M10" s="7">
        <f t="shared" si="7"/>
        <v>31</v>
      </c>
      <c r="N10" s="7">
        <f>VLOOKUP("l" &amp; N$3 &amp; TEXT(DataLog[[#This Row],[Time]],"yyyymmddhhmmss"),DataTable!$A:$B,2,FALSE)</f>
        <v>24.799999237060547</v>
      </c>
      <c r="O10" s="7">
        <f t="shared" si="8"/>
        <v>24</v>
      </c>
      <c r="P10" s="7">
        <f t="shared" si="9"/>
        <v>26</v>
      </c>
      <c r="Q10" s="7">
        <f>VLOOKUP("l" &amp; Q$3 &amp; TEXT(DataLog[[#This Row],[Time]],"yyyymmddhhmmss"),DataTable!$A:$B,2,FALSE)</f>
        <v>36.700000762939453</v>
      </c>
      <c r="R10" s="7">
        <f t="shared" si="10"/>
        <v>36</v>
      </c>
      <c r="S10" s="7">
        <f t="shared" si="11"/>
        <v>38</v>
      </c>
      <c r="T10" s="7">
        <f>VLOOKUP("l" &amp; T$3 &amp; TEXT(DataLog[[#This Row],[Time]],"yyyymmddhhmmss"),DataTable!$A:$B,2,FALSE)</f>
        <v>29.799999237060547</v>
      </c>
      <c r="U10" s="7">
        <f t="shared" si="12"/>
        <v>29</v>
      </c>
      <c r="V10" s="7">
        <f t="shared" si="13"/>
        <v>31</v>
      </c>
    </row>
    <row r="11" spans="1:22" x14ac:dyDescent="0.25">
      <c r="A11" s="4">
        <f t="shared" si="14"/>
        <v>44686.312499999985</v>
      </c>
      <c r="B11" s="7">
        <f>VLOOKUP("l" &amp; B$3 &amp; TEXT(DataLog[[#This Row],[Time]],"yyyymmddhhmmss"),DataTable!$A:$B,2,FALSE)</f>
        <v>37.5</v>
      </c>
      <c r="C11" s="7">
        <f t="shared" si="0"/>
        <v>36</v>
      </c>
      <c r="D11" s="7">
        <f t="shared" si="1"/>
        <v>38</v>
      </c>
      <c r="E11" s="7">
        <f>VLOOKUP("l" &amp; E$3 &amp; TEXT(DataLog[[#This Row],[Time]],"yyyymmddhhmmss"),DataTable!$A:$B,2,FALSE)</f>
        <v>36</v>
      </c>
      <c r="F11" s="7">
        <f t="shared" si="2"/>
        <v>35</v>
      </c>
      <c r="G11" s="7">
        <f t="shared" si="3"/>
        <v>37</v>
      </c>
      <c r="H11" s="7">
        <f>VLOOKUP("l" &amp; H$3 &amp; TEXT(DataLog[[#This Row],[Time]],"yyyymmddhhmmss"),DataTable!$A:$B,2,FALSE)</f>
        <v>35</v>
      </c>
      <c r="I11" s="7">
        <f t="shared" si="4"/>
        <v>34</v>
      </c>
      <c r="J11" s="7">
        <f t="shared" si="5"/>
        <v>36</v>
      </c>
      <c r="K11" s="7">
        <f>VLOOKUP("l" &amp; K$3 &amp; TEXT(DataLog[[#This Row],[Time]],"yyyymmddhhmmss"),DataTable!$A:$B,2,FALSE)</f>
        <v>29.600000381469727</v>
      </c>
      <c r="L11" s="7">
        <f t="shared" si="6"/>
        <v>29</v>
      </c>
      <c r="M11" s="7">
        <f t="shared" si="7"/>
        <v>31</v>
      </c>
      <c r="N11" s="7">
        <f>VLOOKUP("l" &amp; N$3 &amp; TEXT(DataLog[[#This Row],[Time]],"yyyymmddhhmmss"),DataTable!$A:$B,2,FALSE)</f>
        <v>24.600000381469727</v>
      </c>
      <c r="O11" s="7">
        <f t="shared" si="8"/>
        <v>24</v>
      </c>
      <c r="P11" s="7">
        <f t="shared" si="9"/>
        <v>26</v>
      </c>
      <c r="Q11" s="7">
        <f>VLOOKUP("l" &amp; Q$3 &amp; TEXT(DataLog[[#This Row],[Time]],"yyyymmddhhmmss"),DataTable!$A:$B,2,FALSE)</f>
        <v>36.900001525878906</v>
      </c>
      <c r="R11" s="7">
        <f t="shared" si="10"/>
        <v>36</v>
      </c>
      <c r="S11" s="7">
        <f t="shared" si="11"/>
        <v>38</v>
      </c>
      <c r="T11" s="7">
        <f>VLOOKUP("l" &amp; T$3 &amp; TEXT(DataLog[[#This Row],[Time]],"yyyymmddhhmmss"),DataTable!$A:$B,2,FALSE)</f>
        <v>29.799999237060547</v>
      </c>
      <c r="U11" s="7">
        <f t="shared" si="12"/>
        <v>29</v>
      </c>
      <c r="V11" s="7">
        <f t="shared" si="13"/>
        <v>31</v>
      </c>
    </row>
    <row r="12" spans="1:22" x14ac:dyDescent="0.25">
      <c r="A12" s="4">
        <f t="shared" si="14"/>
        <v>44686.32291666665</v>
      </c>
      <c r="B12" s="7">
        <f>VLOOKUP("l" &amp; B$3 &amp; TEXT(DataLog[[#This Row],[Time]],"yyyymmddhhmmss"),DataTable!$A:$B,2,FALSE)</f>
        <v>37.5</v>
      </c>
      <c r="C12" s="7">
        <f t="shared" si="0"/>
        <v>36</v>
      </c>
      <c r="D12" s="7">
        <f t="shared" si="1"/>
        <v>38</v>
      </c>
      <c r="E12" s="7">
        <f>VLOOKUP("l" &amp; E$3 &amp; TEXT(DataLog[[#This Row],[Time]],"yyyymmddhhmmss"),DataTable!$A:$B,2,FALSE)</f>
        <v>36.599998474121094</v>
      </c>
      <c r="F12" s="7">
        <f t="shared" si="2"/>
        <v>35</v>
      </c>
      <c r="G12" s="7">
        <f t="shared" si="3"/>
        <v>37</v>
      </c>
      <c r="H12" s="7">
        <f>VLOOKUP("l" &amp; H$3 &amp; TEXT(DataLog[[#This Row],[Time]],"yyyymmddhhmmss"),DataTable!$A:$B,2,FALSE)</f>
        <v>35</v>
      </c>
      <c r="I12" s="7">
        <f t="shared" si="4"/>
        <v>34</v>
      </c>
      <c r="J12" s="7">
        <f t="shared" si="5"/>
        <v>36</v>
      </c>
      <c r="K12" s="7">
        <f>VLOOKUP("l" &amp; K$3 &amp; TEXT(DataLog[[#This Row],[Time]],"yyyymmddhhmmss"),DataTable!$A:$B,2,FALSE)</f>
        <v>29.600000381469727</v>
      </c>
      <c r="L12" s="7">
        <f t="shared" si="6"/>
        <v>29</v>
      </c>
      <c r="M12" s="7">
        <f t="shared" si="7"/>
        <v>31</v>
      </c>
      <c r="N12" s="7">
        <f>VLOOKUP("l" &amp; N$3 &amp; TEXT(DataLog[[#This Row],[Time]],"yyyymmddhhmmss"),DataTable!$A:$B,2,FALSE)</f>
        <v>24.600000381469727</v>
      </c>
      <c r="O12" s="7">
        <f t="shared" si="8"/>
        <v>24</v>
      </c>
      <c r="P12" s="7">
        <f t="shared" si="9"/>
        <v>26</v>
      </c>
      <c r="Q12" s="7">
        <f>VLOOKUP("l" &amp; Q$3 &amp; TEXT(DataLog[[#This Row],[Time]],"yyyymmddhhmmss"),DataTable!$A:$B,2,FALSE)</f>
        <v>36.900001525878906</v>
      </c>
      <c r="R12" s="7">
        <f t="shared" si="10"/>
        <v>36</v>
      </c>
      <c r="S12" s="7">
        <f t="shared" si="11"/>
        <v>38</v>
      </c>
      <c r="T12" s="7">
        <f>VLOOKUP("l" &amp; T$3 &amp; TEXT(DataLog[[#This Row],[Time]],"yyyymmddhhmmss"),DataTable!$A:$B,2,FALSE)</f>
        <v>30.200000762939453</v>
      </c>
      <c r="U12" s="7">
        <f t="shared" si="12"/>
        <v>29</v>
      </c>
      <c r="V12" s="7">
        <f t="shared" si="13"/>
        <v>31</v>
      </c>
    </row>
    <row r="13" spans="1:22" x14ac:dyDescent="0.25">
      <c r="A13" s="4">
        <f t="shared" si="14"/>
        <v>44686.333333333314</v>
      </c>
      <c r="B13" s="7">
        <f>VLOOKUP("l" &amp; B$3 &amp; TEXT(DataLog[[#This Row],[Time]],"yyyymmddhhmmss"),DataTable!$A:$B,2,FALSE)</f>
        <v>37.5</v>
      </c>
      <c r="C13" s="7">
        <f t="shared" si="0"/>
        <v>36</v>
      </c>
      <c r="D13" s="7">
        <f t="shared" si="1"/>
        <v>38</v>
      </c>
      <c r="E13" s="7">
        <f>VLOOKUP("l" &amp; E$3 &amp; TEXT(DataLog[[#This Row],[Time]],"yyyymmddhhmmss"),DataTable!$A:$B,2,FALSE)</f>
        <v>36.599998474121094</v>
      </c>
      <c r="F13" s="7">
        <f t="shared" si="2"/>
        <v>35</v>
      </c>
      <c r="G13" s="7">
        <f t="shared" si="3"/>
        <v>37</v>
      </c>
      <c r="H13" s="7">
        <f>VLOOKUP("l" &amp; H$3 &amp; TEXT(DataLog[[#This Row],[Time]],"yyyymmddhhmmss"),DataTable!$A:$B,2,FALSE)</f>
        <v>35</v>
      </c>
      <c r="I13" s="7">
        <f t="shared" si="4"/>
        <v>34</v>
      </c>
      <c r="J13" s="7">
        <f t="shared" si="5"/>
        <v>36</v>
      </c>
      <c r="K13" s="7">
        <f>VLOOKUP("l" &amp; K$3 &amp; TEXT(DataLog[[#This Row],[Time]],"yyyymmddhhmmss"),DataTable!$A:$B,2,FALSE)</f>
        <v>29.799999237060547</v>
      </c>
      <c r="L13" s="7">
        <f t="shared" si="6"/>
        <v>29</v>
      </c>
      <c r="M13" s="7">
        <f t="shared" si="7"/>
        <v>31</v>
      </c>
      <c r="N13" s="7">
        <f>VLOOKUP("l" &amp; N$3 &amp; TEXT(DataLog[[#This Row],[Time]],"yyyymmddhhmmss"),DataTable!$A:$B,2,FALSE)</f>
        <v>25</v>
      </c>
      <c r="O13" s="7">
        <f t="shared" si="8"/>
        <v>24</v>
      </c>
      <c r="P13" s="7">
        <f t="shared" si="9"/>
        <v>26</v>
      </c>
      <c r="Q13" s="7">
        <f>VLOOKUP("l" &amp; Q$3 &amp; TEXT(DataLog[[#This Row],[Time]],"yyyymmddhhmmss"),DataTable!$A:$B,2,FALSE)</f>
        <v>36.700000762939453</v>
      </c>
      <c r="R13" s="7">
        <f t="shared" si="10"/>
        <v>36</v>
      </c>
      <c r="S13" s="7">
        <f t="shared" si="11"/>
        <v>38</v>
      </c>
      <c r="T13" s="7">
        <f>VLOOKUP("l" &amp; T$3 &amp; TEXT(DataLog[[#This Row],[Time]],"yyyymmddhhmmss"),DataTable!$A:$B,2,FALSE)</f>
        <v>30.399999618530273</v>
      </c>
      <c r="U13" s="7">
        <f t="shared" si="12"/>
        <v>29</v>
      </c>
      <c r="V13" s="7">
        <f t="shared" si="13"/>
        <v>31</v>
      </c>
    </row>
    <row r="14" spans="1:22" x14ac:dyDescent="0.25">
      <c r="A14" s="4">
        <f t="shared" si="14"/>
        <v>44686.343749999978</v>
      </c>
      <c r="B14" s="7">
        <f>VLOOKUP("l" &amp; B$3 &amp; TEXT(DataLog[[#This Row],[Time]],"yyyymmddhhmmss"),DataTable!$A:$B,2,FALSE)</f>
        <v>37.5</v>
      </c>
      <c r="C14" s="7">
        <f t="shared" si="0"/>
        <v>36</v>
      </c>
      <c r="D14" s="7">
        <f t="shared" si="1"/>
        <v>38</v>
      </c>
      <c r="E14" s="7">
        <f>VLOOKUP("l" &amp; E$3 &amp; TEXT(DataLog[[#This Row],[Time]],"yyyymmddhhmmss"),DataTable!$A:$B,2,FALSE)</f>
        <v>36</v>
      </c>
      <c r="F14" s="7">
        <f t="shared" si="2"/>
        <v>35</v>
      </c>
      <c r="G14" s="7">
        <f t="shared" si="3"/>
        <v>37</v>
      </c>
      <c r="H14" s="7">
        <f>VLOOKUP("l" &amp; H$3 &amp; TEXT(DataLog[[#This Row],[Time]],"yyyymmddhhmmss"),DataTable!$A:$B,2,FALSE)</f>
        <v>35</v>
      </c>
      <c r="I14" s="7">
        <f t="shared" si="4"/>
        <v>34</v>
      </c>
      <c r="J14" s="7">
        <f t="shared" si="5"/>
        <v>36</v>
      </c>
      <c r="K14" s="7">
        <f>VLOOKUP("l" &amp; K$3 &amp; TEXT(DataLog[[#This Row],[Time]],"yyyymmddhhmmss"),DataTable!$A:$B,2,FALSE)</f>
        <v>29.600000381469727</v>
      </c>
      <c r="L14" s="7">
        <f t="shared" si="6"/>
        <v>29</v>
      </c>
      <c r="M14" s="7">
        <f t="shared" si="7"/>
        <v>31</v>
      </c>
      <c r="N14" s="7">
        <f>VLOOKUP("l" &amp; N$3 &amp; TEXT(DataLog[[#This Row],[Time]],"yyyymmddhhmmss"),DataTable!$A:$B,2,FALSE)</f>
        <v>25</v>
      </c>
      <c r="O14" s="7">
        <f t="shared" si="8"/>
        <v>24</v>
      </c>
      <c r="P14" s="7">
        <f t="shared" si="9"/>
        <v>26</v>
      </c>
      <c r="Q14" s="7">
        <f>VLOOKUP("l" &amp; Q$3 &amp; TEXT(DataLog[[#This Row],[Time]],"yyyymmddhhmmss"),DataTable!$A:$B,2,FALSE)</f>
        <v>36.900001525878906</v>
      </c>
      <c r="R14" s="7">
        <f t="shared" si="10"/>
        <v>36</v>
      </c>
      <c r="S14" s="7">
        <f t="shared" si="11"/>
        <v>38</v>
      </c>
      <c r="T14" s="7">
        <f>VLOOKUP("l" &amp; T$3 &amp; TEXT(DataLog[[#This Row],[Time]],"yyyymmddhhmmss"),DataTable!$A:$B,2,FALSE)</f>
        <v>30.399999618530273</v>
      </c>
      <c r="U14" s="7">
        <f t="shared" si="12"/>
        <v>29</v>
      </c>
      <c r="V14" s="7">
        <f t="shared" si="13"/>
        <v>31</v>
      </c>
    </row>
    <row r="15" spans="1:22" x14ac:dyDescent="0.25">
      <c r="A15" s="4">
        <f t="shared" si="14"/>
        <v>44686.354166666642</v>
      </c>
      <c r="B15" s="7">
        <f>VLOOKUP("l" &amp; B$3 &amp; TEXT(DataLog[[#This Row],[Time]],"yyyymmddhhmmss"),DataTable!$A:$B,2,FALSE)</f>
        <v>37.299999237060547</v>
      </c>
      <c r="C15" s="7">
        <f t="shared" si="0"/>
        <v>36</v>
      </c>
      <c r="D15" s="7">
        <f t="shared" si="1"/>
        <v>38</v>
      </c>
      <c r="E15" s="7">
        <f>VLOOKUP("l" &amp; E$3 &amp; TEXT(DataLog[[#This Row],[Time]],"yyyymmddhhmmss"),DataTable!$A:$B,2,FALSE)</f>
        <v>35.599998474121094</v>
      </c>
      <c r="F15" s="7">
        <f t="shared" si="2"/>
        <v>35</v>
      </c>
      <c r="G15" s="7">
        <f t="shared" si="3"/>
        <v>37</v>
      </c>
      <c r="H15" s="7">
        <f>VLOOKUP("l" &amp; H$3 &amp; TEXT(DataLog[[#This Row],[Time]],"yyyymmddhhmmss"),DataTable!$A:$B,2,FALSE)</f>
        <v>35</v>
      </c>
      <c r="I15" s="7">
        <f t="shared" si="4"/>
        <v>34</v>
      </c>
      <c r="J15" s="7">
        <f t="shared" si="5"/>
        <v>36</v>
      </c>
      <c r="K15" s="7">
        <f>VLOOKUP("l" &amp; K$3 &amp; TEXT(DataLog[[#This Row],[Time]],"yyyymmddhhmmss"),DataTable!$A:$B,2,FALSE)</f>
        <v>29.799999237060547</v>
      </c>
      <c r="L15" s="7">
        <f t="shared" si="6"/>
        <v>29</v>
      </c>
      <c r="M15" s="7">
        <f t="shared" si="7"/>
        <v>31</v>
      </c>
      <c r="N15" s="7">
        <f>VLOOKUP("l" &amp; N$3 &amp; TEXT(DataLog[[#This Row],[Time]],"yyyymmddhhmmss"),DataTable!$A:$B,2,FALSE)</f>
        <v>24.799999237060547</v>
      </c>
      <c r="O15" s="7">
        <f t="shared" si="8"/>
        <v>24</v>
      </c>
      <c r="P15" s="7">
        <f t="shared" si="9"/>
        <v>26</v>
      </c>
      <c r="Q15" s="7">
        <f>VLOOKUP("l" &amp; Q$3 &amp; TEXT(DataLog[[#This Row],[Time]],"yyyymmddhhmmss"),DataTable!$A:$B,2,FALSE)</f>
        <v>36.900001525878906</v>
      </c>
      <c r="R15" s="7">
        <f t="shared" si="10"/>
        <v>36</v>
      </c>
      <c r="S15" s="7">
        <f t="shared" si="11"/>
        <v>38</v>
      </c>
      <c r="T15" s="7">
        <f>VLOOKUP("l" &amp; T$3 &amp; TEXT(DataLog[[#This Row],[Time]],"yyyymmddhhmmss"),DataTable!$A:$B,2,FALSE)</f>
        <v>30.200000762939453</v>
      </c>
      <c r="U15" s="7">
        <f t="shared" si="12"/>
        <v>29</v>
      </c>
      <c r="V15" s="7">
        <f t="shared" si="13"/>
        <v>31</v>
      </c>
    </row>
    <row r="16" spans="1:22" x14ac:dyDescent="0.25">
      <c r="A16" s="4">
        <f t="shared" si="14"/>
        <v>44686.364583333307</v>
      </c>
      <c r="B16" s="7">
        <f>VLOOKUP("l" &amp; B$3 &amp; TEXT(DataLog[[#This Row],[Time]],"yyyymmddhhmmss"),DataTable!$A:$B,2,FALSE)</f>
        <v>37.700000762939453</v>
      </c>
      <c r="C16" s="7">
        <f t="shared" si="0"/>
        <v>36</v>
      </c>
      <c r="D16" s="7">
        <f t="shared" si="1"/>
        <v>38</v>
      </c>
      <c r="E16" s="7">
        <f>VLOOKUP("l" &amp; E$3 &amp; TEXT(DataLog[[#This Row],[Time]],"yyyymmddhhmmss"),DataTable!$A:$B,2,FALSE)</f>
        <v>36.799999237060547</v>
      </c>
      <c r="F16" s="7">
        <f t="shared" si="2"/>
        <v>35</v>
      </c>
      <c r="G16" s="7">
        <f t="shared" si="3"/>
        <v>37</v>
      </c>
      <c r="H16" s="7">
        <f>VLOOKUP("l" &amp; H$3 &amp; TEXT(DataLog[[#This Row],[Time]],"yyyymmddhhmmss"),DataTable!$A:$B,2,FALSE)</f>
        <v>35</v>
      </c>
      <c r="I16" s="7">
        <f t="shared" si="4"/>
        <v>34</v>
      </c>
      <c r="J16" s="7">
        <f t="shared" si="5"/>
        <v>36</v>
      </c>
      <c r="K16" s="7">
        <f>VLOOKUP("l" &amp; K$3 &amp; TEXT(DataLog[[#This Row],[Time]],"yyyymmddhhmmss"),DataTable!$A:$B,2,FALSE)</f>
        <v>29.600000381469727</v>
      </c>
      <c r="L16" s="7">
        <f t="shared" si="6"/>
        <v>29</v>
      </c>
      <c r="M16" s="7">
        <f t="shared" si="7"/>
        <v>31</v>
      </c>
      <c r="N16" s="7">
        <f>VLOOKUP("l" &amp; N$3 &amp; TEXT(DataLog[[#This Row],[Time]],"yyyymmddhhmmss"),DataTable!$A:$B,2,FALSE)</f>
        <v>24.799999237060547</v>
      </c>
      <c r="O16" s="7">
        <f t="shared" si="8"/>
        <v>24</v>
      </c>
      <c r="P16" s="7">
        <f t="shared" si="9"/>
        <v>26</v>
      </c>
      <c r="Q16" s="7">
        <f>VLOOKUP("l" &amp; Q$3 &amp; TEXT(DataLog[[#This Row],[Time]],"yyyymmddhhmmss"),DataTable!$A:$B,2,FALSE)</f>
        <v>36.700000762939453</v>
      </c>
      <c r="R16" s="7">
        <f t="shared" si="10"/>
        <v>36</v>
      </c>
      <c r="S16" s="7">
        <f t="shared" si="11"/>
        <v>38</v>
      </c>
      <c r="T16" s="7">
        <f>VLOOKUP("l" &amp; T$3 &amp; TEXT(DataLog[[#This Row],[Time]],"yyyymmddhhmmss"),DataTable!$A:$B,2,FALSE)</f>
        <v>30</v>
      </c>
      <c r="U16" s="7">
        <f t="shared" si="12"/>
        <v>29</v>
      </c>
      <c r="V16" s="7">
        <f t="shared" si="13"/>
        <v>31</v>
      </c>
    </row>
    <row r="17" spans="1:22" x14ac:dyDescent="0.25">
      <c r="A17" s="4">
        <f t="shared" si="14"/>
        <v>44686.374999999971</v>
      </c>
      <c r="B17" s="7">
        <f>VLOOKUP("l" &amp; B$3 &amp; TEXT(DataLog[[#This Row],[Time]],"yyyymmddhhmmss"),DataTable!$A:$B,2,FALSE)</f>
        <v>37.299999237060547</v>
      </c>
      <c r="C17" s="7">
        <f t="shared" si="0"/>
        <v>36</v>
      </c>
      <c r="D17" s="7">
        <f t="shared" si="1"/>
        <v>38</v>
      </c>
      <c r="E17" s="7">
        <f>VLOOKUP("l" &amp; E$3 &amp; TEXT(DataLog[[#This Row],[Time]],"yyyymmddhhmmss"),DataTable!$A:$B,2,FALSE)</f>
        <v>36.799999237060547</v>
      </c>
      <c r="F17" s="7">
        <f t="shared" si="2"/>
        <v>35</v>
      </c>
      <c r="G17" s="7">
        <f t="shared" si="3"/>
        <v>37</v>
      </c>
      <c r="H17" s="7">
        <f>VLOOKUP("l" &amp; H$3 &amp; TEXT(DataLog[[#This Row],[Time]],"yyyymmddhhmmss"),DataTable!$A:$B,2,FALSE)</f>
        <v>35</v>
      </c>
      <c r="I17" s="7">
        <f t="shared" si="4"/>
        <v>34</v>
      </c>
      <c r="J17" s="7">
        <f t="shared" si="5"/>
        <v>36</v>
      </c>
      <c r="K17" s="7">
        <f>VLOOKUP("l" &amp; K$3 &amp; TEXT(DataLog[[#This Row],[Time]],"yyyymmddhhmmss"),DataTable!$A:$B,2,FALSE)</f>
        <v>29.600000381469727</v>
      </c>
      <c r="L17" s="7">
        <f t="shared" si="6"/>
        <v>29</v>
      </c>
      <c r="M17" s="7">
        <f t="shared" si="7"/>
        <v>31</v>
      </c>
      <c r="N17" s="7">
        <f>VLOOKUP("l" &amp; N$3 &amp; TEXT(DataLog[[#This Row],[Time]],"yyyymmddhhmmss"),DataTable!$A:$B,2,FALSE)</f>
        <v>24.399999618530273</v>
      </c>
      <c r="O17" s="7">
        <f t="shared" si="8"/>
        <v>24</v>
      </c>
      <c r="P17" s="7">
        <f t="shared" si="9"/>
        <v>26</v>
      </c>
      <c r="Q17" s="7">
        <f>VLOOKUP("l" &amp; Q$3 &amp; TEXT(DataLog[[#This Row],[Time]],"yyyymmddhhmmss"),DataTable!$A:$B,2,FALSE)</f>
        <v>36.900001525878906</v>
      </c>
      <c r="R17" s="7">
        <f t="shared" si="10"/>
        <v>36</v>
      </c>
      <c r="S17" s="7">
        <f t="shared" si="11"/>
        <v>38</v>
      </c>
      <c r="T17" s="7">
        <f>VLOOKUP("l" &amp; T$3 &amp; TEXT(DataLog[[#This Row],[Time]],"yyyymmddhhmmss"),DataTable!$A:$B,2,FALSE)</f>
        <v>29.799999237060547</v>
      </c>
      <c r="U17" s="7">
        <f t="shared" si="12"/>
        <v>29</v>
      </c>
      <c r="V17" s="7">
        <f t="shared" si="13"/>
        <v>31</v>
      </c>
    </row>
    <row r="18" spans="1:22" x14ac:dyDescent="0.25">
      <c r="A18" s="4">
        <f t="shared" si="14"/>
        <v>44686.385416666635</v>
      </c>
      <c r="B18" s="7">
        <f>VLOOKUP("l" &amp; B$3 &amp; TEXT(DataLog[[#This Row],[Time]],"yyyymmddhhmmss"),DataTable!$A:$B,2,FALSE)</f>
        <v>37.5</v>
      </c>
      <c r="C18" s="7">
        <f t="shared" si="0"/>
        <v>36</v>
      </c>
      <c r="D18" s="7">
        <f t="shared" si="1"/>
        <v>38</v>
      </c>
      <c r="E18" s="7">
        <f>VLOOKUP("l" &amp; E$3 &amp; TEXT(DataLog[[#This Row],[Time]],"yyyymmddhhmmss"),DataTable!$A:$B,2,FALSE)</f>
        <v>35.799999237060547</v>
      </c>
      <c r="F18" s="7">
        <f t="shared" si="2"/>
        <v>35</v>
      </c>
      <c r="G18" s="7">
        <f t="shared" si="3"/>
        <v>37</v>
      </c>
      <c r="H18" s="7">
        <f>VLOOKUP("l" &amp; H$3 &amp; TEXT(DataLog[[#This Row],[Time]],"yyyymmddhhmmss"),DataTable!$A:$B,2,FALSE)</f>
        <v>35</v>
      </c>
      <c r="I18" s="7">
        <f t="shared" si="4"/>
        <v>34</v>
      </c>
      <c r="J18" s="7">
        <f t="shared" si="5"/>
        <v>36</v>
      </c>
      <c r="K18" s="7">
        <f>VLOOKUP("l" &amp; K$3 &amp; TEXT(DataLog[[#This Row],[Time]],"yyyymmddhhmmss"),DataTable!$A:$B,2,FALSE)</f>
        <v>29.600000381469727</v>
      </c>
      <c r="L18" s="7">
        <f t="shared" si="6"/>
        <v>29</v>
      </c>
      <c r="M18" s="7">
        <f t="shared" si="7"/>
        <v>31</v>
      </c>
      <c r="N18" s="7">
        <f>VLOOKUP("l" &amp; N$3 &amp; TEXT(DataLog[[#This Row],[Time]],"yyyymmddhhmmss"),DataTable!$A:$B,2,FALSE)</f>
        <v>24.799999237060547</v>
      </c>
      <c r="O18" s="7">
        <f t="shared" si="8"/>
        <v>24</v>
      </c>
      <c r="P18" s="7">
        <f t="shared" si="9"/>
        <v>26</v>
      </c>
      <c r="Q18" s="7">
        <f>VLOOKUP("l" &amp; Q$3 &amp; TEXT(DataLog[[#This Row],[Time]],"yyyymmddhhmmss"),DataTable!$A:$B,2,FALSE)</f>
        <v>36.900001525878906</v>
      </c>
      <c r="R18" s="7">
        <f t="shared" si="10"/>
        <v>36</v>
      </c>
      <c r="S18" s="7">
        <f t="shared" si="11"/>
        <v>38</v>
      </c>
      <c r="T18" s="7">
        <f>VLOOKUP("l" &amp; T$3 &amp; TEXT(DataLog[[#This Row],[Time]],"yyyymmddhhmmss"),DataTable!$A:$B,2,FALSE)</f>
        <v>30</v>
      </c>
      <c r="U18" s="7">
        <f t="shared" si="12"/>
        <v>29</v>
      </c>
      <c r="V18" s="7">
        <f t="shared" si="13"/>
        <v>31</v>
      </c>
    </row>
    <row r="19" spans="1:22" x14ac:dyDescent="0.25">
      <c r="A19" s="4">
        <f t="shared" si="14"/>
        <v>44686.395833333299</v>
      </c>
      <c r="B19" s="7">
        <f>VLOOKUP("l" &amp; B$3 &amp; TEXT(DataLog[[#This Row],[Time]],"yyyymmddhhmmss"),DataTable!$A:$B,2,FALSE)</f>
        <v>37.5</v>
      </c>
      <c r="C19" s="7">
        <f t="shared" si="0"/>
        <v>36</v>
      </c>
      <c r="D19" s="7">
        <f t="shared" si="1"/>
        <v>38</v>
      </c>
      <c r="E19" s="7">
        <f>VLOOKUP("l" &amp; E$3 &amp; TEXT(DataLog[[#This Row],[Time]],"yyyymmddhhmmss"),DataTable!$A:$B,2,FALSE)</f>
        <v>35.599998474121094</v>
      </c>
      <c r="F19" s="7">
        <f t="shared" si="2"/>
        <v>35</v>
      </c>
      <c r="G19" s="7">
        <f t="shared" si="3"/>
        <v>37</v>
      </c>
      <c r="H19" s="7" t="e">
        <f>VLOOKUP("l" &amp; H$3 &amp; TEXT(DataLog[[#This Row],[Time]],"yyyymmddhhmmss"),DataTable!$A:$B,2,FALSE)</f>
        <v>#N/A</v>
      </c>
      <c r="I19" s="7">
        <f t="shared" si="4"/>
        <v>34</v>
      </c>
      <c r="J19" s="7">
        <f t="shared" si="5"/>
        <v>36</v>
      </c>
      <c r="K19" s="7">
        <f>VLOOKUP("l" &amp; K$3 &amp; TEXT(DataLog[[#This Row],[Time]],"yyyymmddhhmmss"),DataTable!$A:$B,2,FALSE)</f>
        <v>29.600000381469727</v>
      </c>
      <c r="L19" s="7">
        <f t="shared" si="6"/>
        <v>29</v>
      </c>
      <c r="M19" s="7">
        <f t="shared" si="7"/>
        <v>31</v>
      </c>
      <c r="N19" s="7">
        <f>VLOOKUP("l" &amp; N$3 &amp; TEXT(DataLog[[#This Row],[Time]],"yyyymmddhhmmss"),DataTable!$A:$B,2,FALSE)</f>
        <v>25</v>
      </c>
      <c r="O19" s="7">
        <f t="shared" si="8"/>
        <v>24</v>
      </c>
      <c r="P19" s="7">
        <f t="shared" si="9"/>
        <v>26</v>
      </c>
      <c r="Q19" s="7">
        <f>VLOOKUP("l" &amp; Q$3 &amp; TEXT(DataLog[[#This Row],[Time]],"yyyymmddhhmmss"),DataTable!$A:$B,2,FALSE)</f>
        <v>36.700000762939453</v>
      </c>
      <c r="R19" s="7">
        <f t="shared" si="10"/>
        <v>36</v>
      </c>
      <c r="S19" s="7">
        <f t="shared" si="11"/>
        <v>38</v>
      </c>
      <c r="T19" s="7">
        <f>VLOOKUP("l" &amp; T$3 &amp; TEXT(DataLog[[#This Row],[Time]],"yyyymmddhhmmss"),DataTable!$A:$B,2,FALSE)</f>
        <v>30.200000762939453</v>
      </c>
      <c r="U19" s="7">
        <f t="shared" si="12"/>
        <v>29</v>
      </c>
      <c r="V19" s="7">
        <f t="shared" si="13"/>
        <v>31</v>
      </c>
    </row>
    <row r="20" spans="1:22" x14ac:dyDescent="0.25">
      <c r="A20" s="4">
        <f t="shared" si="14"/>
        <v>44686.406249999964</v>
      </c>
      <c r="B20" s="7">
        <f>VLOOKUP("l" &amp; B$3 &amp; TEXT(DataLog[[#This Row],[Time]],"yyyymmddhhmmss"),DataTable!$A:$B,2,FALSE)</f>
        <v>37.5</v>
      </c>
      <c r="C20" s="7">
        <f t="shared" si="0"/>
        <v>36</v>
      </c>
      <c r="D20" s="7">
        <f t="shared" si="1"/>
        <v>38</v>
      </c>
      <c r="E20" s="7">
        <f>VLOOKUP("l" &amp; E$3 &amp; TEXT(DataLog[[#This Row],[Time]],"yyyymmddhhmmss"),DataTable!$A:$B,2,FALSE)</f>
        <v>36.599998474121094</v>
      </c>
      <c r="F20" s="7">
        <f t="shared" si="2"/>
        <v>35</v>
      </c>
      <c r="G20" s="7">
        <f t="shared" si="3"/>
        <v>37</v>
      </c>
      <c r="H20" s="7">
        <f>VLOOKUP("l" &amp; H$3 &amp; TEXT(DataLog[[#This Row],[Time]],"yyyymmddhhmmss"),DataTable!$A:$B,2,FALSE)</f>
        <v>35</v>
      </c>
      <c r="I20" s="7">
        <f t="shared" si="4"/>
        <v>34</v>
      </c>
      <c r="J20" s="7">
        <f t="shared" si="5"/>
        <v>36</v>
      </c>
      <c r="K20" s="7">
        <f>VLOOKUP("l" &amp; K$3 &amp; TEXT(DataLog[[#This Row],[Time]],"yyyymmddhhmmss"),DataTable!$A:$B,2,FALSE)</f>
        <v>29.600000381469727</v>
      </c>
      <c r="L20" s="7">
        <f t="shared" si="6"/>
        <v>29</v>
      </c>
      <c r="M20" s="7">
        <f t="shared" si="7"/>
        <v>31</v>
      </c>
      <c r="N20" s="7">
        <f>VLOOKUP("l" &amp; N$3 &amp; TEXT(DataLog[[#This Row],[Time]],"yyyymmddhhmmss"),DataTable!$A:$B,2,FALSE)</f>
        <v>25</v>
      </c>
      <c r="O20" s="7">
        <f t="shared" si="8"/>
        <v>24</v>
      </c>
      <c r="P20" s="7">
        <f t="shared" si="9"/>
        <v>26</v>
      </c>
      <c r="Q20" s="7">
        <f>VLOOKUP("l" &amp; Q$3 &amp; TEXT(DataLog[[#This Row],[Time]],"yyyymmddhhmmss"),DataTable!$A:$B,2,FALSE)</f>
        <v>37.099998474121094</v>
      </c>
      <c r="R20" s="7">
        <f t="shared" si="10"/>
        <v>36</v>
      </c>
      <c r="S20" s="7">
        <f t="shared" si="11"/>
        <v>38</v>
      </c>
      <c r="T20" s="7">
        <f>VLOOKUP("l" &amp; T$3 &amp; TEXT(DataLog[[#This Row],[Time]],"yyyymmddhhmmss"),DataTable!$A:$B,2,FALSE)</f>
        <v>30.200000762939453</v>
      </c>
      <c r="U20" s="7">
        <f t="shared" si="12"/>
        <v>29</v>
      </c>
      <c r="V20" s="7">
        <f t="shared" si="13"/>
        <v>31</v>
      </c>
    </row>
    <row r="21" spans="1:22" x14ac:dyDescent="0.25">
      <c r="A21" s="4">
        <f t="shared" si="14"/>
        <v>44686.416666666628</v>
      </c>
      <c r="B21" s="7">
        <f>VLOOKUP("l" &amp; B$3 &amp; TEXT(DataLog[[#This Row],[Time]],"yyyymmddhhmmss"),DataTable!$A:$B,2,FALSE)</f>
        <v>37.5</v>
      </c>
      <c r="C21" s="7">
        <f t="shared" si="0"/>
        <v>36</v>
      </c>
      <c r="D21" s="7">
        <f t="shared" ref="D21:D84" si="15">D$3+1</f>
        <v>38</v>
      </c>
      <c r="E21" s="7">
        <f>VLOOKUP("l" &amp; E$3 &amp; TEXT(DataLog[[#This Row],[Time]],"yyyymmddhhmmss"),DataTable!$A:$B,2,FALSE)</f>
        <v>36</v>
      </c>
      <c r="F21" s="7">
        <f t="shared" si="2"/>
        <v>35</v>
      </c>
      <c r="G21" s="7">
        <f t="shared" ref="G21:G84" si="16">G$3+1</f>
        <v>37</v>
      </c>
      <c r="H21" s="7">
        <f>VLOOKUP("l" &amp; H$3 &amp; TEXT(DataLog[[#This Row],[Time]],"yyyymmddhhmmss"),DataTable!$A:$B,2,FALSE)</f>
        <v>35</v>
      </c>
      <c r="I21" s="7">
        <f t="shared" si="4"/>
        <v>34</v>
      </c>
      <c r="J21" s="7">
        <f t="shared" si="5"/>
        <v>36</v>
      </c>
      <c r="K21" s="7">
        <f>VLOOKUP("l" &amp; K$3 &amp; TEXT(DataLog[[#This Row],[Time]],"yyyymmddhhmmss"),DataTable!$A:$B,2,FALSE)</f>
        <v>29.600000381469727</v>
      </c>
      <c r="L21" s="7">
        <f t="shared" si="6"/>
        <v>29</v>
      </c>
      <c r="M21" s="7">
        <f t="shared" si="7"/>
        <v>31</v>
      </c>
      <c r="N21" s="7">
        <f>VLOOKUP("l" &amp; N$3 &amp; TEXT(DataLog[[#This Row],[Time]],"yyyymmddhhmmss"),DataTable!$A:$B,2,FALSE)</f>
        <v>24.799999237060547</v>
      </c>
      <c r="O21" s="7">
        <f t="shared" si="8"/>
        <v>24</v>
      </c>
      <c r="P21" s="7">
        <f t="shared" si="9"/>
        <v>26</v>
      </c>
      <c r="Q21" s="7">
        <f>VLOOKUP("l" &amp; Q$3 &amp; TEXT(DataLog[[#This Row],[Time]],"yyyymmddhhmmss"),DataTable!$A:$B,2,FALSE)</f>
        <v>37.099998474121094</v>
      </c>
      <c r="R21" s="7">
        <f t="shared" si="10"/>
        <v>36</v>
      </c>
      <c r="S21" s="7">
        <f t="shared" si="11"/>
        <v>38</v>
      </c>
      <c r="T21" s="7">
        <f>VLOOKUP("l" &amp; T$3 &amp; TEXT(DataLog[[#This Row],[Time]],"yyyymmddhhmmss"),DataTable!$A:$B,2,FALSE)</f>
        <v>30</v>
      </c>
      <c r="U21" s="7">
        <f t="shared" si="12"/>
        <v>29</v>
      </c>
      <c r="V21" s="7">
        <f t="shared" si="13"/>
        <v>31</v>
      </c>
    </row>
    <row r="22" spans="1:22" x14ac:dyDescent="0.25">
      <c r="A22" s="4">
        <f t="shared" si="14"/>
        <v>44686.427083333292</v>
      </c>
      <c r="B22" s="7">
        <f>VLOOKUP("l" &amp; B$3 &amp; TEXT(DataLog[[#This Row],[Time]],"yyyymmddhhmmss"),DataTable!$A:$B,2,FALSE)</f>
        <v>37.299999237060547</v>
      </c>
      <c r="C22" s="7">
        <f t="shared" si="0"/>
        <v>36</v>
      </c>
      <c r="D22" s="7">
        <f t="shared" si="15"/>
        <v>38</v>
      </c>
      <c r="E22" s="7">
        <f>VLOOKUP("l" &amp; E$3 &amp; TEXT(DataLog[[#This Row],[Time]],"yyyymmddhhmmss"),DataTable!$A:$B,2,FALSE)</f>
        <v>35.599998474121094</v>
      </c>
      <c r="F22" s="7">
        <f t="shared" si="2"/>
        <v>35</v>
      </c>
      <c r="G22" s="7">
        <f t="shared" si="16"/>
        <v>37</v>
      </c>
      <c r="H22" s="7">
        <f>VLOOKUP("l" &amp; H$3 &amp; TEXT(DataLog[[#This Row],[Time]],"yyyymmddhhmmss"),DataTable!$A:$B,2,FALSE)</f>
        <v>35</v>
      </c>
      <c r="I22" s="7">
        <f t="shared" si="4"/>
        <v>34</v>
      </c>
      <c r="J22" s="7">
        <f t="shared" si="5"/>
        <v>36</v>
      </c>
      <c r="K22" s="7">
        <f>VLOOKUP("l" &amp; K$3 &amp; TEXT(DataLog[[#This Row],[Time]],"yyyymmddhhmmss"),DataTable!$A:$B,2,FALSE)</f>
        <v>29.600000381469727</v>
      </c>
      <c r="L22" s="7">
        <f t="shared" si="6"/>
        <v>29</v>
      </c>
      <c r="M22" s="7">
        <f t="shared" si="7"/>
        <v>31</v>
      </c>
      <c r="N22" s="7">
        <f>VLOOKUP("l" &amp; N$3 &amp; TEXT(DataLog[[#This Row],[Time]],"yyyymmddhhmmss"),DataTable!$A:$B,2,FALSE)</f>
        <v>24.600000381469727</v>
      </c>
      <c r="O22" s="7">
        <f t="shared" si="8"/>
        <v>24</v>
      </c>
      <c r="P22" s="7">
        <f t="shared" si="9"/>
        <v>26</v>
      </c>
      <c r="Q22" s="7">
        <f>VLOOKUP("l" &amp; Q$3 &amp; TEXT(DataLog[[#This Row],[Time]],"yyyymmddhhmmss"),DataTable!$A:$B,2,FALSE)</f>
        <v>36.900001525878906</v>
      </c>
      <c r="R22" s="7">
        <f t="shared" si="10"/>
        <v>36</v>
      </c>
      <c r="S22" s="7">
        <f t="shared" si="11"/>
        <v>38</v>
      </c>
      <c r="T22" s="7">
        <f>VLOOKUP("l" &amp; T$3 &amp; TEXT(DataLog[[#This Row],[Time]],"yyyymmddhhmmss"),DataTable!$A:$B,2,FALSE)</f>
        <v>29.799999237060547</v>
      </c>
      <c r="U22" s="7">
        <f t="shared" si="12"/>
        <v>29</v>
      </c>
      <c r="V22" s="7">
        <f t="shared" si="13"/>
        <v>31</v>
      </c>
    </row>
    <row r="23" spans="1:22" x14ac:dyDescent="0.25">
      <c r="A23" s="4">
        <f t="shared" si="14"/>
        <v>44686.437499999956</v>
      </c>
      <c r="B23" s="7">
        <f>VLOOKUP("l" &amp; B$3 &amp; TEXT(DataLog[[#This Row],[Time]],"yyyymmddhhmmss"),DataTable!$A:$B,2,FALSE)</f>
        <v>37.700000762939453</v>
      </c>
      <c r="C23" s="7">
        <f t="shared" si="0"/>
        <v>36</v>
      </c>
      <c r="D23" s="7">
        <f t="shared" si="15"/>
        <v>38</v>
      </c>
      <c r="E23" s="7">
        <f>VLOOKUP("l" &amp; E$3 &amp; TEXT(DataLog[[#This Row],[Time]],"yyyymmddhhmmss"),DataTable!$A:$B,2,FALSE)</f>
        <v>36.599998474121094</v>
      </c>
      <c r="F23" s="7">
        <f t="shared" si="2"/>
        <v>35</v>
      </c>
      <c r="G23" s="7">
        <f t="shared" si="16"/>
        <v>37</v>
      </c>
      <c r="H23" s="7">
        <f>VLOOKUP("l" &amp; H$3 &amp; TEXT(DataLog[[#This Row],[Time]],"yyyymmddhhmmss"),DataTable!$A:$B,2,FALSE)</f>
        <v>35</v>
      </c>
      <c r="I23" s="7">
        <f t="shared" si="4"/>
        <v>34</v>
      </c>
      <c r="J23" s="7">
        <f t="shared" si="5"/>
        <v>36</v>
      </c>
      <c r="K23" s="7">
        <f>VLOOKUP("l" &amp; K$3 &amp; TEXT(DataLog[[#This Row],[Time]],"yyyymmddhhmmss"),DataTable!$A:$B,2,FALSE)</f>
        <v>29.799999237060547</v>
      </c>
      <c r="L23" s="7">
        <f t="shared" si="6"/>
        <v>29</v>
      </c>
      <c r="M23" s="7">
        <f t="shared" si="7"/>
        <v>31</v>
      </c>
      <c r="N23" s="7">
        <f>VLOOKUP("l" &amp; N$3 &amp; TEXT(DataLog[[#This Row],[Time]],"yyyymmddhhmmss"),DataTable!$A:$B,2,FALSE)</f>
        <v>24.399999618530273</v>
      </c>
      <c r="O23" s="7">
        <f t="shared" si="8"/>
        <v>24</v>
      </c>
      <c r="P23" s="7">
        <f t="shared" si="9"/>
        <v>26</v>
      </c>
      <c r="Q23" s="7">
        <f>VLOOKUP("l" &amp; Q$3 &amp; TEXT(DataLog[[#This Row],[Time]],"yyyymmddhhmmss"),DataTable!$A:$B,2,FALSE)</f>
        <v>36.900001525878906</v>
      </c>
      <c r="R23" s="7">
        <f t="shared" si="10"/>
        <v>36</v>
      </c>
      <c r="S23" s="7">
        <f t="shared" si="11"/>
        <v>38</v>
      </c>
      <c r="T23" s="7">
        <f>VLOOKUP("l" &amp; T$3 &amp; TEXT(DataLog[[#This Row],[Time]],"yyyymmddhhmmss"),DataTable!$A:$B,2,FALSE)</f>
        <v>29.799999237060547</v>
      </c>
      <c r="U23" s="7">
        <f t="shared" si="12"/>
        <v>29</v>
      </c>
      <c r="V23" s="7">
        <f t="shared" si="13"/>
        <v>31</v>
      </c>
    </row>
    <row r="24" spans="1:22" x14ac:dyDescent="0.25">
      <c r="A24" s="4">
        <f t="shared" si="14"/>
        <v>44686.447916666621</v>
      </c>
      <c r="B24" s="7">
        <f>VLOOKUP("l" &amp; B$3 &amp; TEXT(DataLog[[#This Row],[Time]],"yyyymmddhhmmss"),DataTable!$A:$B,2,FALSE)</f>
        <v>37.299999237060547</v>
      </c>
      <c r="C24" s="7">
        <f t="shared" si="0"/>
        <v>36</v>
      </c>
      <c r="D24" s="7">
        <f t="shared" si="15"/>
        <v>38</v>
      </c>
      <c r="E24" s="7">
        <f>VLOOKUP("l" &amp; E$3 &amp; TEXT(DataLog[[#This Row],[Time]],"yyyymmddhhmmss"),DataTable!$A:$B,2,FALSE)</f>
        <v>35.799999237060547</v>
      </c>
      <c r="F24" s="7">
        <f t="shared" si="2"/>
        <v>35</v>
      </c>
      <c r="G24" s="7">
        <f t="shared" si="16"/>
        <v>37</v>
      </c>
      <c r="H24" s="7">
        <f>VLOOKUP("l" &amp; H$3 &amp; TEXT(DataLog[[#This Row],[Time]],"yyyymmddhhmmss"),DataTable!$A:$B,2,FALSE)</f>
        <v>35</v>
      </c>
      <c r="I24" s="7">
        <f t="shared" si="4"/>
        <v>34</v>
      </c>
      <c r="J24" s="7">
        <f t="shared" si="5"/>
        <v>36</v>
      </c>
      <c r="K24" s="7">
        <f>VLOOKUP("l" &amp; K$3 &amp; TEXT(DataLog[[#This Row],[Time]],"yyyymmddhhmmss"),DataTable!$A:$B,2,FALSE)</f>
        <v>29.600000381469727</v>
      </c>
      <c r="L24" s="7">
        <f t="shared" si="6"/>
        <v>29</v>
      </c>
      <c r="M24" s="7">
        <f t="shared" si="7"/>
        <v>31</v>
      </c>
      <c r="N24" s="7">
        <f>VLOOKUP("l" &amp; N$3 &amp; TEXT(DataLog[[#This Row],[Time]],"yyyymmddhhmmss"),DataTable!$A:$B,2,FALSE)</f>
        <v>24.799999237060547</v>
      </c>
      <c r="O24" s="7">
        <f t="shared" si="8"/>
        <v>24</v>
      </c>
      <c r="P24" s="7">
        <f t="shared" si="9"/>
        <v>26</v>
      </c>
      <c r="Q24" s="7">
        <f>VLOOKUP("l" &amp; Q$3 &amp; TEXT(DataLog[[#This Row],[Time]],"yyyymmddhhmmss"),DataTable!$A:$B,2,FALSE)</f>
        <v>36.700000762939453</v>
      </c>
      <c r="R24" s="7">
        <f t="shared" si="10"/>
        <v>36</v>
      </c>
      <c r="S24" s="7">
        <f t="shared" si="11"/>
        <v>38</v>
      </c>
      <c r="T24" s="7">
        <f>VLOOKUP("l" &amp; T$3 &amp; TEXT(DataLog[[#This Row],[Time]],"yyyymmddhhmmss"),DataTable!$A:$B,2,FALSE)</f>
        <v>30.200000762939453</v>
      </c>
      <c r="U24" s="7">
        <f t="shared" si="12"/>
        <v>29</v>
      </c>
      <c r="V24" s="7">
        <f t="shared" si="13"/>
        <v>31</v>
      </c>
    </row>
    <row r="25" spans="1:22" x14ac:dyDescent="0.25">
      <c r="A25" s="4">
        <f t="shared" si="14"/>
        <v>44686.458333333285</v>
      </c>
      <c r="B25" s="7">
        <f>VLOOKUP("l" &amp; B$3 &amp; TEXT(DataLog[[#This Row],[Time]],"yyyymmddhhmmss"),DataTable!$A:$B,2,FALSE)</f>
        <v>37.5</v>
      </c>
      <c r="C25" s="7">
        <f t="shared" si="0"/>
        <v>36</v>
      </c>
      <c r="D25" s="7">
        <f t="shared" si="15"/>
        <v>38</v>
      </c>
      <c r="E25" s="7">
        <f>VLOOKUP("l" &amp; E$3 &amp; TEXT(DataLog[[#This Row],[Time]],"yyyymmddhhmmss"),DataTable!$A:$B,2,FALSE)</f>
        <v>36</v>
      </c>
      <c r="F25" s="7">
        <f t="shared" si="2"/>
        <v>35</v>
      </c>
      <c r="G25" s="7">
        <f t="shared" si="16"/>
        <v>37</v>
      </c>
      <c r="H25" s="7">
        <f>VLOOKUP("l" &amp; H$3 &amp; TEXT(DataLog[[#This Row],[Time]],"yyyymmddhhmmss"),DataTable!$A:$B,2,FALSE)</f>
        <v>35</v>
      </c>
      <c r="I25" s="7">
        <f t="shared" si="4"/>
        <v>34</v>
      </c>
      <c r="J25" s="7">
        <f t="shared" si="5"/>
        <v>36</v>
      </c>
      <c r="K25" s="7">
        <f>VLOOKUP("l" &amp; K$3 &amp; TEXT(DataLog[[#This Row],[Time]],"yyyymmddhhmmss"),DataTable!$A:$B,2,FALSE)</f>
        <v>29.799999237060547</v>
      </c>
      <c r="L25" s="7">
        <f t="shared" si="6"/>
        <v>29</v>
      </c>
      <c r="M25" s="7">
        <f t="shared" si="7"/>
        <v>31</v>
      </c>
      <c r="N25" s="7">
        <f>VLOOKUP("l" &amp; N$3 &amp; TEXT(DataLog[[#This Row],[Time]],"yyyymmddhhmmss"),DataTable!$A:$B,2,FALSE)</f>
        <v>25.200000762939453</v>
      </c>
      <c r="O25" s="7">
        <f t="shared" si="8"/>
        <v>24</v>
      </c>
      <c r="P25" s="7">
        <f t="shared" si="9"/>
        <v>26</v>
      </c>
      <c r="Q25" s="7">
        <f>VLOOKUP("l" &amp; Q$3 &amp; TEXT(DataLog[[#This Row],[Time]],"yyyymmddhhmmss"),DataTable!$A:$B,2,FALSE)</f>
        <v>36.700000762939453</v>
      </c>
      <c r="R25" s="7">
        <f t="shared" si="10"/>
        <v>36</v>
      </c>
      <c r="S25" s="7">
        <f t="shared" si="11"/>
        <v>38</v>
      </c>
      <c r="T25" s="7">
        <f>VLOOKUP("l" &amp; T$3 &amp; TEXT(DataLog[[#This Row],[Time]],"yyyymmddhhmmss"),DataTable!$A:$B,2,FALSE)</f>
        <v>30.399999618530273</v>
      </c>
      <c r="U25" s="7">
        <f t="shared" si="12"/>
        <v>29</v>
      </c>
      <c r="V25" s="7">
        <f t="shared" si="13"/>
        <v>31</v>
      </c>
    </row>
    <row r="26" spans="1:22" x14ac:dyDescent="0.25">
      <c r="A26" s="4">
        <f t="shared" si="14"/>
        <v>44686.468749999949</v>
      </c>
      <c r="B26" s="7">
        <f>VLOOKUP("l" &amp; B$3 &amp; TEXT(DataLog[[#This Row],[Time]],"yyyymmddhhmmss"),DataTable!$A:$B,2,FALSE)</f>
        <v>37.5</v>
      </c>
      <c r="C26" s="7">
        <f t="shared" si="0"/>
        <v>36</v>
      </c>
      <c r="D26" s="7">
        <f t="shared" si="15"/>
        <v>38</v>
      </c>
      <c r="E26" s="7">
        <f>VLOOKUP("l" &amp; E$3 &amp; TEXT(DataLog[[#This Row],[Time]],"yyyymmddhhmmss"),DataTable!$A:$B,2,FALSE)</f>
        <v>36.599998474121094</v>
      </c>
      <c r="F26" s="7">
        <f t="shared" si="2"/>
        <v>35</v>
      </c>
      <c r="G26" s="7">
        <f t="shared" si="16"/>
        <v>37</v>
      </c>
      <c r="H26" s="7">
        <f>VLOOKUP("l" &amp; H$3 &amp; TEXT(DataLog[[#This Row],[Time]],"yyyymmddhhmmss"),DataTable!$A:$B,2,FALSE)</f>
        <v>35</v>
      </c>
      <c r="I26" s="7">
        <f t="shared" si="4"/>
        <v>34</v>
      </c>
      <c r="J26" s="7">
        <f t="shared" si="5"/>
        <v>36</v>
      </c>
      <c r="K26" s="7">
        <f>VLOOKUP("l" &amp; K$3 &amp; TEXT(DataLog[[#This Row],[Time]],"yyyymmddhhmmss"),DataTable!$A:$B,2,FALSE)</f>
        <v>29.600000381469727</v>
      </c>
      <c r="L26" s="7">
        <f t="shared" si="6"/>
        <v>29</v>
      </c>
      <c r="M26" s="7">
        <f t="shared" si="7"/>
        <v>31</v>
      </c>
      <c r="N26" s="7">
        <f>VLOOKUP("l" &amp; N$3 &amp; TEXT(DataLog[[#This Row],[Time]],"yyyymmddhhmmss"),DataTable!$A:$B,2,FALSE)</f>
        <v>25.200000762939453</v>
      </c>
      <c r="O26" s="7">
        <f t="shared" si="8"/>
        <v>24</v>
      </c>
      <c r="P26" s="7">
        <f t="shared" si="9"/>
        <v>26</v>
      </c>
      <c r="Q26" s="7">
        <f>VLOOKUP("l" &amp; Q$3 &amp; TEXT(DataLog[[#This Row],[Time]],"yyyymmddhhmmss"),DataTable!$A:$B,2,FALSE)</f>
        <v>36.900001525878906</v>
      </c>
      <c r="R26" s="7">
        <f t="shared" si="10"/>
        <v>36</v>
      </c>
      <c r="S26" s="7">
        <f t="shared" si="11"/>
        <v>38</v>
      </c>
      <c r="T26" s="7">
        <f>VLOOKUP("l" &amp; T$3 &amp; TEXT(DataLog[[#This Row],[Time]],"yyyymmddhhmmss"),DataTable!$A:$B,2,FALSE)</f>
        <v>30.399999618530273</v>
      </c>
      <c r="U26" s="7">
        <f t="shared" si="12"/>
        <v>29</v>
      </c>
      <c r="V26" s="7">
        <f t="shared" si="13"/>
        <v>31</v>
      </c>
    </row>
    <row r="27" spans="1:22" x14ac:dyDescent="0.25">
      <c r="A27" s="4">
        <f t="shared" si="14"/>
        <v>44686.479166666613</v>
      </c>
      <c r="B27" s="7">
        <f>VLOOKUP("l" &amp; B$3 &amp; TEXT(DataLog[[#This Row],[Time]],"yyyymmddhhmmss"),DataTable!$A:$B,2,FALSE)</f>
        <v>37.5</v>
      </c>
      <c r="C27" s="7">
        <f t="shared" si="0"/>
        <v>36</v>
      </c>
      <c r="D27" s="7">
        <f t="shared" si="15"/>
        <v>38</v>
      </c>
      <c r="E27" s="7">
        <f>VLOOKUP("l" &amp; E$3 &amp; TEXT(DataLog[[#This Row],[Time]],"yyyymmddhhmmss"),DataTable!$A:$B,2,FALSE)</f>
        <v>36</v>
      </c>
      <c r="F27" s="7">
        <f t="shared" si="2"/>
        <v>35</v>
      </c>
      <c r="G27" s="7">
        <f t="shared" si="16"/>
        <v>37</v>
      </c>
      <c r="H27" s="7">
        <f>VLOOKUP("l" &amp; H$3 &amp; TEXT(DataLog[[#This Row],[Time]],"yyyymmddhhmmss"),DataTable!$A:$B,2,FALSE)</f>
        <v>35</v>
      </c>
      <c r="I27" s="7">
        <f t="shared" si="4"/>
        <v>34</v>
      </c>
      <c r="J27" s="7">
        <f t="shared" si="5"/>
        <v>36</v>
      </c>
      <c r="K27" s="7">
        <f>VLOOKUP("l" &amp; K$3 &amp; TEXT(DataLog[[#This Row],[Time]],"yyyymmddhhmmss"),DataTable!$A:$B,2,FALSE)</f>
        <v>29.799999237060547</v>
      </c>
      <c r="L27" s="7">
        <f t="shared" si="6"/>
        <v>29</v>
      </c>
      <c r="M27" s="7">
        <f t="shared" si="7"/>
        <v>31</v>
      </c>
      <c r="N27" s="7">
        <f>VLOOKUP("l" &amp; N$3 &amp; TEXT(DataLog[[#This Row],[Time]],"yyyymmddhhmmss"),DataTable!$A:$B,2,FALSE)</f>
        <v>25.200000762939453</v>
      </c>
      <c r="O27" s="7">
        <f t="shared" si="8"/>
        <v>24</v>
      </c>
      <c r="P27" s="7">
        <f t="shared" si="9"/>
        <v>26</v>
      </c>
      <c r="Q27" s="7">
        <f>VLOOKUP("l" &amp; Q$3 &amp; TEXT(DataLog[[#This Row],[Time]],"yyyymmddhhmmss"),DataTable!$A:$B,2,FALSE)</f>
        <v>37.099998474121094</v>
      </c>
      <c r="R27" s="7">
        <f t="shared" si="10"/>
        <v>36</v>
      </c>
      <c r="S27" s="7">
        <f t="shared" si="11"/>
        <v>38</v>
      </c>
      <c r="T27" s="7">
        <f>VLOOKUP("l" &amp; T$3 &amp; TEXT(DataLog[[#This Row],[Time]],"yyyymmddhhmmss"),DataTable!$A:$B,2,FALSE)</f>
        <v>30.200000762939453</v>
      </c>
      <c r="U27" s="7">
        <f t="shared" si="12"/>
        <v>29</v>
      </c>
      <c r="V27" s="7">
        <f t="shared" si="13"/>
        <v>31</v>
      </c>
    </row>
    <row r="28" spans="1:22" x14ac:dyDescent="0.25">
      <c r="A28" s="4">
        <f t="shared" si="14"/>
        <v>44686.489583333278</v>
      </c>
      <c r="B28" s="7">
        <f>VLOOKUP("l" &amp; B$3 &amp; TEXT(DataLog[[#This Row],[Time]],"yyyymmddhhmmss"),DataTable!$A:$B,2,FALSE)</f>
        <v>37.5</v>
      </c>
      <c r="C28" s="7">
        <f t="shared" si="0"/>
        <v>36</v>
      </c>
      <c r="D28" s="7">
        <f t="shared" si="15"/>
        <v>38</v>
      </c>
      <c r="E28" s="7">
        <f>VLOOKUP("l" &amp; E$3 &amp; TEXT(DataLog[[#This Row],[Time]],"yyyymmddhhmmss"),DataTable!$A:$B,2,FALSE)</f>
        <v>35.799999237060547</v>
      </c>
      <c r="F28" s="7">
        <f t="shared" si="2"/>
        <v>35</v>
      </c>
      <c r="G28" s="7">
        <f t="shared" si="16"/>
        <v>37</v>
      </c>
      <c r="H28" s="7">
        <f>VLOOKUP("l" &amp; H$3 &amp; TEXT(DataLog[[#This Row],[Time]],"yyyymmddhhmmss"),DataTable!$A:$B,2,FALSE)</f>
        <v>35</v>
      </c>
      <c r="I28" s="7">
        <f t="shared" si="4"/>
        <v>34</v>
      </c>
      <c r="J28" s="7">
        <f t="shared" si="5"/>
        <v>36</v>
      </c>
      <c r="K28" s="7">
        <f>VLOOKUP("l" &amp; K$3 &amp; TEXT(DataLog[[#This Row],[Time]],"yyyymmddhhmmss"),DataTable!$A:$B,2,FALSE)</f>
        <v>29.600000381469727</v>
      </c>
      <c r="L28" s="7">
        <f t="shared" si="6"/>
        <v>29</v>
      </c>
      <c r="M28" s="7">
        <f t="shared" si="7"/>
        <v>31</v>
      </c>
      <c r="N28" s="7">
        <f>VLOOKUP("l" &amp; N$3 &amp; TEXT(DataLog[[#This Row],[Time]],"yyyymmddhhmmss"),DataTable!$A:$B,2,FALSE)</f>
        <v>25.200000762939453</v>
      </c>
      <c r="O28" s="7">
        <f t="shared" si="8"/>
        <v>24</v>
      </c>
      <c r="P28" s="7">
        <f t="shared" si="9"/>
        <v>26</v>
      </c>
      <c r="Q28" s="7">
        <f>VLOOKUP("l" &amp; Q$3 &amp; TEXT(DataLog[[#This Row],[Time]],"yyyymmddhhmmss"),DataTable!$A:$B,2,FALSE)</f>
        <v>36.700000762939453</v>
      </c>
      <c r="R28" s="7">
        <f t="shared" si="10"/>
        <v>36</v>
      </c>
      <c r="S28" s="7">
        <f t="shared" si="11"/>
        <v>38</v>
      </c>
      <c r="T28" s="7">
        <f>VLOOKUP("l" &amp; T$3 &amp; TEXT(DataLog[[#This Row],[Time]],"yyyymmddhhmmss"),DataTable!$A:$B,2,FALSE)</f>
        <v>30</v>
      </c>
      <c r="U28" s="7">
        <f t="shared" si="12"/>
        <v>29</v>
      </c>
      <c r="V28" s="7">
        <f t="shared" si="13"/>
        <v>31</v>
      </c>
    </row>
    <row r="29" spans="1:22" x14ac:dyDescent="0.25">
      <c r="A29" s="4">
        <f t="shared" si="14"/>
        <v>44686.499999999942</v>
      </c>
      <c r="B29" s="7">
        <f>VLOOKUP("l" &amp; B$3 &amp; TEXT(DataLog[[#This Row],[Time]],"yyyymmddhhmmss"),DataTable!$A:$B,2,FALSE)</f>
        <v>37.5</v>
      </c>
      <c r="C29" s="7">
        <f t="shared" si="0"/>
        <v>36</v>
      </c>
      <c r="D29" s="7">
        <f t="shared" si="15"/>
        <v>38</v>
      </c>
      <c r="E29" s="7">
        <f>VLOOKUP("l" &amp; E$3 &amp; TEXT(DataLog[[#This Row],[Time]],"yyyymmddhhmmss"),DataTable!$A:$B,2,FALSE)</f>
        <v>36.400001525878906</v>
      </c>
      <c r="F29" s="7">
        <f t="shared" si="2"/>
        <v>35</v>
      </c>
      <c r="G29" s="7">
        <f t="shared" si="16"/>
        <v>37</v>
      </c>
      <c r="H29" s="7">
        <f>VLOOKUP("l" &amp; H$3 &amp; TEXT(DataLog[[#This Row],[Time]],"yyyymmddhhmmss"),DataTable!$A:$B,2,FALSE)</f>
        <v>35</v>
      </c>
      <c r="I29" s="7">
        <f t="shared" si="4"/>
        <v>34</v>
      </c>
      <c r="J29" s="7">
        <f t="shared" si="5"/>
        <v>36</v>
      </c>
      <c r="K29" s="7">
        <f>VLOOKUP("l" &amp; K$3 &amp; TEXT(DataLog[[#This Row],[Time]],"yyyymmddhhmmss"),DataTable!$A:$B,2,FALSE)</f>
        <v>29.600000381469727</v>
      </c>
      <c r="L29" s="7">
        <f t="shared" si="6"/>
        <v>29</v>
      </c>
      <c r="M29" s="7">
        <f t="shared" si="7"/>
        <v>31</v>
      </c>
      <c r="N29" s="7">
        <f>VLOOKUP("l" &amp; N$3 &amp; TEXT(DataLog[[#This Row],[Time]],"yyyymmddhhmmss"),DataTable!$A:$B,2,FALSE)</f>
        <v>25.200000762939453</v>
      </c>
      <c r="O29" s="7">
        <f t="shared" si="8"/>
        <v>24</v>
      </c>
      <c r="P29" s="7">
        <f t="shared" si="9"/>
        <v>26</v>
      </c>
      <c r="Q29" s="7">
        <f>VLOOKUP("l" &amp; Q$3 &amp; TEXT(DataLog[[#This Row],[Time]],"yyyymmddhhmmss"),DataTable!$A:$B,2,FALSE)</f>
        <v>37.099998474121094</v>
      </c>
      <c r="R29" s="7">
        <f t="shared" si="10"/>
        <v>36</v>
      </c>
      <c r="S29" s="7">
        <f t="shared" si="11"/>
        <v>38</v>
      </c>
      <c r="T29" s="7">
        <f>VLOOKUP("l" &amp; T$3 &amp; TEXT(DataLog[[#This Row],[Time]],"yyyymmddhhmmss"),DataTable!$A:$B,2,FALSE)</f>
        <v>29.799999237060547</v>
      </c>
      <c r="U29" s="7">
        <f t="shared" si="12"/>
        <v>29</v>
      </c>
      <c r="V29" s="7">
        <f t="shared" si="13"/>
        <v>31</v>
      </c>
    </row>
    <row r="30" spans="1:22" x14ac:dyDescent="0.25">
      <c r="A30" s="4">
        <f t="shared" si="14"/>
        <v>44686.510416666606</v>
      </c>
      <c r="B30" s="7">
        <f>VLOOKUP("l" &amp; B$3 &amp; TEXT(DataLog[[#This Row],[Time]],"yyyymmddhhmmss"),DataTable!$A:$B,2,FALSE)</f>
        <v>37.299999237060547</v>
      </c>
      <c r="C30" s="7">
        <f t="shared" si="0"/>
        <v>36</v>
      </c>
      <c r="D30" s="7">
        <f t="shared" si="15"/>
        <v>38</v>
      </c>
      <c r="E30" s="7">
        <f>VLOOKUP("l" &amp; E$3 &amp; TEXT(DataLog[[#This Row],[Time]],"yyyymmddhhmmss"),DataTable!$A:$B,2,FALSE)</f>
        <v>36</v>
      </c>
      <c r="F30" s="7">
        <f t="shared" si="2"/>
        <v>35</v>
      </c>
      <c r="G30" s="7">
        <f t="shared" si="16"/>
        <v>37</v>
      </c>
      <c r="H30" s="7">
        <f>VLOOKUP("l" &amp; H$3 &amp; TEXT(DataLog[[#This Row],[Time]],"yyyymmddhhmmss"),DataTable!$A:$B,2,FALSE)</f>
        <v>35</v>
      </c>
      <c r="I30" s="7">
        <f t="shared" si="4"/>
        <v>34</v>
      </c>
      <c r="J30" s="7">
        <f t="shared" si="5"/>
        <v>36</v>
      </c>
      <c r="K30" s="7">
        <f>VLOOKUP("l" &amp; K$3 &amp; TEXT(DataLog[[#This Row],[Time]],"yyyymmddhhmmss"),DataTable!$A:$B,2,FALSE)</f>
        <v>29.600000381469727</v>
      </c>
      <c r="L30" s="7">
        <f t="shared" si="6"/>
        <v>29</v>
      </c>
      <c r="M30" s="7">
        <f t="shared" si="7"/>
        <v>31</v>
      </c>
      <c r="N30" s="7">
        <f>VLOOKUP("l" &amp; N$3 &amp; TEXT(DataLog[[#This Row],[Time]],"yyyymmddhhmmss"),DataTable!$A:$B,2,FALSE)</f>
        <v>25.200000762939453</v>
      </c>
      <c r="O30" s="7">
        <f t="shared" si="8"/>
        <v>24</v>
      </c>
      <c r="P30" s="7">
        <f t="shared" si="9"/>
        <v>26</v>
      </c>
      <c r="Q30" s="7">
        <f>VLOOKUP("l" &amp; Q$3 &amp; TEXT(DataLog[[#This Row],[Time]],"yyyymmddhhmmss"),DataTable!$A:$B,2,FALSE)</f>
        <v>36.700000762939453</v>
      </c>
      <c r="R30" s="7">
        <f t="shared" si="10"/>
        <v>36</v>
      </c>
      <c r="S30" s="7">
        <f t="shared" si="11"/>
        <v>38</v>
      </c>
      <c r="T30" s="7">
        <f>VLOOKUP("l" &amp; T$3 &amp; TEXT(DataLog[[#This Row],[Time]],"yyyymmddhhmmss"),DataTable!$A:$B,2,FALSE)</f>
        <v>29.799999237060547</v>
      </c>
      <c r="U30" s="7">
        <f t="shared" si="12"/>
        <v>29</v>
      </c>
      <c r="V30" s="7">
        <f t="shared" si="13"/>
        <v>31</v>
      </c>
    </row>
    <row r="31" spans="1:22" x14ac:dyDescent="0.25">
      <c r="A31" s="4">
        <f t="shared" si="14"/>
        <v>44686.52083333327</v>
      </c>
      <c r="B31" s="7">
        <f>VLOOKUP("l" &amp; B$3 &amp; TEXT(DataLog[[#This Row],[Time]],"yyyymmddhhmmss"),DataTable!$A:$B,2,FALSE)</f>
        <v>37.700000762939453</v>
      </c>
      <c r="C31" s="7">
        <f t="shared" si="0"/>
        <v>36</v>
      </c>
      <c r="D31" s="7">
        <f t="shared" si="15"/>
        <v>38</v>
      </c>
      <c r="E31" s="7">
        <f>VLOOKUP("l" &amp; E$3 &amp; TEXT(DataLog[[#This Row],[Time]],"yyyymmddhhmmss"),DataTable!$A:$B,2,FALSE)</f>
        <v>35.799999237060547</v>
      </c>
      <c r="F31" s="7">
        <f t="shared" si="2"/>
        <v>35</v>
      </c>
      <c r="G31" s="7">
        <f t="shared" si="16"/>
        <v>37</v>
      </c>
      <c r="H31" s="7">
        <f>VLOOKUP("l" &amp; H$3 &amp; TEXT(DataLog[[#This Row],[Time]],"yyyymmddhhmmss"),DataTable!$A:$B,2,FALSE)</f>
        <v>35</v>
      </c>
      <c r="I31" s="7">
        <f t="shared" si="4"/>
        <v>34</v>
      </c>
      <c r="J31" s="7">
        <f t="shared" si="5"/>
        <v>36</v>
      </c>
      <c r="K31" s="7">
        <f>VLOOKUP("l" &amp; K$3 &amp; TEXT(DataLog[[#This Row],[Time]],"yyyymmddhhmmss"),DataTable!$A:$B,2,FALSE)</f>
        <v>29.600000381469727</v>
      </c>
      <c r="L31" s="7">
        <f t="shared" si="6"/>
        <v>29</v>
      </c>
      <c r="M31" s="7">
        <f t="shared" si="7"/>
        <v>31</v>
      </c>
      <c r="N31" s="7">
        <f>VLOOKUP("l" &amp; N$3 &amp; TEXT(DataLog[[#This Row],[Time]],"yyyymmddhhmmss"),DataTable!$A:$B,2,FALSE)</f>
        <v>25.200000762939453</v>
      </c>
      <c r="O31" s="7">
        <f t="shared" si="8"/>
        <v>24</v>
      </c>
      <c r="P31" s="7">
        <f t="shared" si="9"/>
        <v>26</v>
      </c>
      <c r="Q31" s="7">
        <f>VLOOKUP("l" &amp; Q$3 &amp; TEXT(DataLog[[#This Row],[Time]],"yyyymmddhhmmss"),DataTable!$A:$B,2,FALSE)</f>
        <v>36.900001525878906</v>
      </c>
      <c r="R31" s="7">
        <f t="shared" si="10"/>
        <v>36</v>
      </c>
      <c r="S31" s="7">
        <f t="shared" si="11"/>
        <v>38</v>
      </c>
      <c r="T31" s="7">
        <f>VLOOKUP("l" &amp; T$3 &amp; TEXT(DataLog[[#This Row],[Time]],"yyyymmddhhmmss"),DataTable!$A:$B,2,FALSE)</f>
        <v>30.200000762939453</v>
      </c>
      <c r="U31" s="7">
        <f t="shared" si="12"/>
        <v>29</v>
      </c>
      <c r="V31" s="7">
        <f t="shared" si="13"/>
        <v>31</v>
      </c>
    </row>
    <row r="32" spans="1:22" x14ac:dyDescent="0.25">
      <c r="A32" s="4">
        <f t="shared" si="14"/>
        <v>44686.531249999935</v>
      </c>
      <c r="B32" s="7">
        <f>VLOOKUP("l" &amp; B$3 &amp; TEXT(DataLog[[#This Row],[Time]],"yyyymmddhhmmss"),DataTable!$A:$B,2,FALSE)</f>
        <v>37.299999237060547</v>
      </c>
      <c r="C32" s="7">
        <f t="shared" si="0"/>
        <v>36</v>
      </c>
      <c r="D32" s="7">
        <f t="shared" si="15"/>
        <v>38</v>
      </c>
      <c r="E32" s="7">
        <f>VLOOKUP("l" &amp; E$3 &amp; TEXT(DataLog[[#This Row],[Time]],"yyyymmddhhmmss"),DataTable!$A:$B,2,FALSE)</f>
        <v>36.400001525878906</v>
      </c>
      <c r="F32" s="7">
        <f t="shared" si="2"/>
        <v>35</v>
      </c>
      <c r="G32" s="7">
        <f t="shared" si="16"/>
        <v>37</v>
      </c>
      <c r="H32" s="7">
        <f>VLOOKUP("l" &amp; H$3 &amp; TEXT(DataLog[[#This Row],[Time]],"yyyymmddhhmmss"),DataTable!$A:$B,2,FALSE)</f>
        <v>35</v>
      </c>
      <c r="I32" s="7">
        <f t="shared" si="4"/>
        <v>34</v>
      </c>
      <c r="J32" s="7">
        <f t="shared" si="5"/>
        <v>36</v>
      </c>
      <c r="K32" s="7">
        <f>VLOOKUP("l" &amp; K$3 &amp; TEXT(DataLog[[#This Row],[Time]],"yyyymmddhhmmss"),DataTable!$A:$B,2,FALSE)</f>
        <v>29.799999237060547</v>
      </c>
      <c r="L32" s="7">
        <f t="shared" si="6"/>
        <v>29</v>
      </c>
      <c r="M32" s="7">
        <f t="shared" si="7"/>
        <v>31</v>
      </c>
      <c r="N32" s="7">
        <f>VLOOKUP("l" &amp; N$3 &amp; TEXT(DataLog[[#This Row],[Time]],"yyyymmddhhmmss"),DataTable!$A:$B,2,FALSE)</f>
        <v>25.200000762939453</v>
      </c>
      <c r="O32" s="7">
        <f t="shared" si="8"/>
        <v>24</v>
      </c>
      <c r="P32" s="7">
        <f t="shared" si="9"/>
        <v>26</v>
      </c>
      <c r="Q32" s="7">
        <f>VLOOKUP("l" &amp; Q$3 &amp; TEXT(DataLog[[#This Row],[Time]],"yyyymmddhhmmss"),DataTable!$A:$B,2,FALSE)</f>
        <v>36.900001525878906</v>
      </c>
      <c r="R32" s="7">
        <f t="shared" si="10"/>
        <v>36</v>
      </c>
      <c r="S32" s="7">
        <f t="shared" si="11"/>
        <v>38</v>
      </c>
      <c r="T32" s="7">
        <f>VLOOKUP("l" &amp; T$3 &amp; TEXT(DataLog[[#This Row],[Time]],"yyyymmddhhmmss"),DataTable!$A:$B,2,FALSE)</f>
        <v>30.200000762939453</v>
      </c>
      <c r="U32" s="7">
        <f t="shared" si="12"/>
        <v>29</v>
      </c>
      <c r="V32" s="7">
        <f t="shared" si="13"/>
        <v>31</v>
      </c>
    </row>
    <row r="33" spans="1:22" x14ac:dyDescent="0.25">
      <c r="A33" s="4">
        <f t="shared" si="14"/>
        <v>44686.541666666599</v>
      </c>
      <c r="B33" s="7">
        <f>VLOOKUP("l" &amp; B$3 &amp; TEXT(DataLog[[#This Row],[Time]],"yyyymmddhhmmss"),DataTable!$A:$B,2,FALSE)</f>
        <v>37.5</v>
      </c>
      <c r="C33" s="7">
        <f t="shared" si="0"/>
        <v>36</v>
      </c>
      <c r="D33" s="7">
        <f t="shared" si="15"/>
        <v>38</v>
      </c>
      <c r="E33" s="7">
        <f>VLOOKUP("l" &amp; E$3 &amp; TEXT(DataLog[[#This Row],[Time]],"yyyymmddhhmmss"),DataTable!$A:$B,2,FALSE)</f>
        <v>36.200000762939453</v>
      </c>
      <c r="F33" s="7">
        <f t="shared" si="2"/>
        <v>35</v>
      </c>
      <c r="G33" s="7">
        <f t="shared" si="16"/>
        <v>37</v>
      </c>
      <c r="H33" s="7">
        <f>VLOOKUP("l" &amp; H$3 &amp; TEXT(DataLog[[#This Row],[Time]],"yyyymmddhhmmss"),DataTable!$A:$B,2,FALSE)</f>
        <v>35</v>
      </c>
      <c r="I33" s="7">
        <f t="shared" si="4"/>
        <v>34</v>
      </c>
      <c r="J33" s="7">
        <f t="shared" si="5"/>
        <v>36</v>
      </c>
      <c r="K33" s="7">
        <f>VLOOKUP("l" &amp; K$3 &amp; TEXT(DataLog[[#This Row],[Time]],"yyyymmddhhmmss"),DataTable!$A:$B,2,FALSE)</f>
        <v>29.600000381469727</v>
      </c>
      <c r="L33" s="7">
        <f t="shared" si="6"/>
        <v>29</v>
      </c>
      <c r="M33" s="7">
        <f t="shared" si="7"/>
        <v>31</v>
      </c>
      <c r="N33" s="7">
        <f>VLOOKUP("l" &amp; N$3 &amp; TEXT(DataLog[[#This Row],[Time]],"yyyymmddhhmmss"),DataTable!$A:$B,2,FALSE)</f>
        <v>25.200000762939453</v>
      </c>
      <c r="O33" s="7">
        <f t="shared" si="8"/>
        <v>24</v>
      </c>
      <c r="P33" s="7">
        <f t="shared" si="9"/>
        <v>26</v>
      </c>
      <c r="Q33" s="7">
        <f>VLOOKUP("l" &amp; Q$3 &amp; TEXT(DataLog[[#This Row],[Time]],"yyyymmddhhmmss"),DataTable!$A:$B,2,FALSE)</f>
        <v>36.700000762939453</v>
      </c>
      <c r="R33" s="7">
        <f t="shared" si="10"/>
        <v>36</v>
      </c>
      <c r="S33" s="7">
        <f t="shared" si="11"/>
        <v>38</v>
      </c>
      <c r="T33" s="7">
        <f>VLOOKUP("l" &amp; T$3 &amp; TEXT(DataLog[[#This Row],[Time]],"yyyymmddhhmmss"),DataTable!$A:$B,2,FALSE)</f>
        <v>30.200000762939453</v>
      </c>
      <c r="U33" s="7">
        <f t="shared" si="12"/>
        <v>29</v>
      </c>
      <c r="V33" s="7">
        <f t="shared" si="13"/>
        <v>31</v>
      </c>
    </row>
    <row r="34" spans="1:22" x14ac:dyDescent="0.25">
      <c r="A34" s="4">
        <f t="shared" si="14"/>
        <v>44686.552083333263</v>
      </c>
      <c r="B34" s="7">
        <f>VLOOKUP("l" &amp; B$3 &amp; TEXT(DataLog[[#This Row],[Time]],"yyyymmddhhmmss"),DataTable!$A:$B,2,FALSE)</f>
        <v>37.099998474121094</v>
      </c>
      <c r="C34" s="7">
        <f t="shared" si="0"/>
        <v>36</v>
      </c>
      <c r="D34" s="7">
        <f t="shared" si="15"/>
        <v>38</v>
      </c>
      <c r="E34" s="7">
        <f>VLOOKUP("l" &amp; E$3 &amp; TEXT(DataLog[[#This Row],[Time]],"yyyymmddhhmmss"),DataTable!$A:$B,2,FALSE)</f>
        <v>35.599998474121094</v>
      </c>
      <c r="F34" s="7">
        <f t="shared" si="2"/>
        <v>35</v>
      </c>
      <c r="G34" s="7">
        <f t="shared" si="16"/>
        <v>37</v>
      </c>
      <c r="H34" s="7">
        <f>VLOOKUP("l" &amp; H$3 &amp; TEXT(DataLog[[#This Row],[Time]],"yyyymmddhhmmss"),DataTable!$A:$B,2,FALSE)</f>
        <v>35</v>
      </c>
      <c r="I34" s="7">
        <f t="shared" si="4"/>
        <v>34</v>
      </c>
      <c r="J34" s="7">
        <f t="shared" si="5"/>
        <v>36</v>
      </c>
      <c r="K34" s="7">
        <f>VLOOKUP("l" &amp; K$3 &amp; TEXT(DataLog[[#This Row],[Time]],"yyyymmddhhmmss"),DataTable!$A:$B,2,FALSE)</f>
        <v>29.600000381469727</v>
      </c>
      <c r="L34" s="7">
        <f t="shared" si="6"/>
        <v>29</v>
      </c>
      <c r="M34" s="7">
        <f t="shared" si="7"/>
        <v>31</v>
      </c>
      <c r="N34" s="7">
        <f>VLOOKUP("l" &amp; N$3 &amp; TEXT(DataLog[[#This Row],[Time]],"yyyymmddhhmmss"),DataTable!$A:$B,2,FALSE)</f>
        <v>25</v>
      </c>
      <c r="O34" s="7">
        <f t="shared" si="8"/>
        <v>24</v>
      </c>
      <c r="P34" s="7">
        <f t="shared" si="9"/>
        <v>26</v>
      </c>
      <c r="Q34" s="7">
        <f>VLOOKUP("l" &amp; Q$3 &amp; TEXT(DataLog[[#This Row],[Time]],"yyyymmddhhmmss"),DataTable!$A:$B,2,FALSE)</f>
        <v>37.099998474121094</v>
      </c>
      <c r="R34" s="7">
        <f t="shared" si="10"/>
        <v>36</v>
      </c>
      <c r="S34" s="7">
        <f t="shared" si="11"/>
        <v>38</v>
      </c>
      <c r="T34" s="7">
        <f>VLOOKUP("l" &amp; T$3 &amp; TEXT(DataLog[[#This Row],[Time]],"yyyymmddhhmmss"),DataTable!$A:$B,2,FALSE)</f>
        <v>30</v>
      </c>
      <c r="U34" s="7">
        <f t="shared" si="12"/>
        <v>29</v>
      </c>
      <c r="V34" s="7">
        <f t="shared" si="13"/>
        <v>31</v>
      </c>
    </row>
    <row r="35" spans="1:22" x14ac:dyDescent="0.25">
      <c r="A35" s="4">
        <f t="shared" si="14"/>
        <v>44686.562499999927</v>
      </c>
      <c r="B35" s="7">
        <f>VLOOKUP("l" &amp; B$3 &amp; TEXT(DataLog[[#This Row],[Time]],"yyyymmddhhmmss"),DataTable!$A:$B,2,FALSE)</f>
        <v>37.700000762939453</v>
      </c>
      <c r="C35" s="7">
        <f t="shared" si="0"/>
        <v>36</v>
      </c>
      <c r="D35" s="7">
        <f t="shared" si="15"/>
        <v>38</v>
      </c>
      <c r="E35" s="7">
        <f>VLOOKUP("l" &amp; E$3 &amp; TEXT(DataLog[[#This Row],[Time]],"yyyymmddhhmmss"),DataTable!$A:$B,2,FALSE)</f>
        <v>36.599998474121094</v>
      </c>
      <c r="F35" s="7">
        <f t="shared" si="2"/>
        <v>35</v>
      </c>
      <c r="G35" s="7">
        <f t="shared" si="16"/>
        <v>37</v>
      </c>
      <c r="H35" s="7">
        <f>VLOOKUP("l" &amp; H$3 &amp; TEXT(DataLog[[#This Row],[Time]],"yyyymmddhhmmss"),DataTable!$A:$B,2,FALSE)</f>
        <v>35</v>
      </c>
      <c r="I35" s="7">
        <f t="shared" si="4"/>
        <v>34</v>
      </c>
      <c r="J35" s="7">
        <f t="shared" si="5"/>
        <v>36</v>
      </c>
      <c r="K35" s="7">
        <f>VLOOKUP("l" &amp; K$3 &amp; TEXT(DataLog[[#This Row],[Time]],"yyyymmddhhmmss"),DataTable!$A:$B,2,FALSE)</f>
        <v>29.600000381469727</v>
      </c>
      <c r="L35" s="7">
        <f t="shared" si="6"/>
        <v>29</v>
      </c>
      <c r="M35" s="7">
        <f t="shared" si="7"/>
        <v>31</v>
      </c>
      <c r="N35" s="7">
        <f>VLOOKUP("l" &amp; N$3 &amp; TEXT(DataLog[[#This Row],[Time]],"yyyymmddhhmmss"),DataTable!$A:$B,2,FALSE)</f>
        <v>25</v>
      </c>
      <c r="O35" s="7">
        <f t="shared" si="8"/>
        <v>24</v>
      </c>
      <c r="P35" s="7">
        <f t="shared" si="9"/>
        <v>26</v>
      </c>
      <c r="Q35" s="7">
        <f>VLOOKUP("l" &amp; Q$3 &amp; TEXT(DataLog[[#This Row],[Time]],"yyyymmddhhmmss"),DataTable!$A:$B,2,FALSE)</f>
        <v>37.099998474121094</v>
      </c>
      <c r="R35" s="7">
        <f t="shared" si="10"/>
        <v>36</v>
      </c>
      <c r="S35" s="7">
        <f t="shared" si="11"/>
        <v>38</v>
      </c>
      <c r="T35" s="7">
        <f>VLOOKUP("l" &amp; T$3 &amp; TEXT(DataLog[[#This Row],[Time]],"yyyymmddhhmmss"),DataTable!$A:$B,2,FALSE)</f>
        <v>29.799999237060547</v>
      </c>
      <c r="U35" s="7">
        <f t="shared" si="12"/>
        <v>29</v>
      </c>
      <c r="V35" s="7">
        <f t="shared" si="13"/>
        <v>31</v>
      </c>
    </row>
    <row r="36" spans="1:22" x14ac:dyDescent="0.25">
      <c r="A36" s="4">
        <f t="shared" si="14"/>
        <v>44686.572916666591</v>
      </c>
      <c r="B36" s="7">
        <f>VLOOKUP("l" &amp; B$3 &amp; TEXT(DataLog[[#This Row],[Time]],"yyyymmddhhmmss"),DataTable!$A:$B,2,FALSE)</f>
        <v>37.099998474121094</v>
      </c>
      <c r="C36" s="7">
        <f t="shared" si="0"/>
        <v>36</v>
      </c>
      <c r="D36" s="7">
        <f t="shared" si="15"/>
        <v>38</v>
      </c>
      <c r="E36" s="7">
        <f>VLOOKUP("l" &amp; E$3 &amp; TEXT(DataLog[[#This Row],[Time]],"yyyymmddhhmmss"),DataTable!$A:$B,2,FALSE)</f>
        <v>36.400001525878906</v>
      </c>
      <c r="F36" s="7">
        <f t="shared" si="2"/>
        <v>35</v>
      </c>
      <c r="G36" s="7">
        <f t="shared" si="16"/>
        <v>37</v>
      </c>
      <c r="H36" s="7">
        <f>VLOOKUP("l" &amp; H$3 &amp; TEXT(DataLog[[#This Row],[Time]],"yyyymmddhhmmss"),DataTable!$A:$B,2,FALSE)</f>
        <v>34.799999237060547</v>
      </c>
      <c r="I36" s="7">
        <f t="shared" si="4"/>
        <v>34</v>
      </c>
      <c r="J36" s="7">
        <f t="shared" si="5"/>
        <v>36</v>
      </c>
      <c r="K36" s="7">
        <f>VLOOKUP("l" &amp; K$3 &amp; TEXT(DataLog[[#This Row],[Time]],"yyyymmddhhmmss"),DataTable!$A:$B,2,FALSE)</f>
        <v>29.600000381469727</v>
      </c>
      <c r="L36" s="7">
        <f t="shared" si="6"/>
        <v>29</v>
      </c>
      <c r="M36" s="7">
        <f t="shared" si="7"/>
        <v>31</v>
      </c>
      <c r="N36" s="7">
        <f>VLOOKUP("l" &amp; N$3 &amp; TEXT(DataLog[[#This Row],[Time]],"yyyymmddhhmmss"),DataTable!$A:$B,2,FALSE)</f>
        <v>24.799999237060547</v>
      </c>
      <c r="O36" s="7">
        <f t="shared" si="8"/>
        <v>24</v>
      </c>
      <c r="P36" s="7">
        <f t="shared" si="9"/>
        <v>26</v>
      </c>
      <c r="Q36" s="7">
        <f>VLOOKUP("l" &amp; Q$3 &amp; TEXT(DataLog[[#This Row],[Time]],"yyyymmddhhmmss"),DataTable!$A:$B,2,FALSE)</f>
        <v>37.099998474121094</v>
      </c>
      <c r="R36" s="7">
        <f t="shared" si="10"/>
        <v>36</v>
      </c>
      <c r="S36" s="7">
        <f t="shared" si="11"/>
        <v>38</v>
      </c>
      <c r="T36" s="7">
        <f>VLOOKUP("l" &amp; T$3 &amp; TEXT(DataLog[[#This Row],[Time]],"yyyymmddhhmmss"),DataTable!$A:$B,2,FALSE)</f>
        <v>30.200000762939453</v>
      </c>
      <c r="U36" s="7">
        <f t="shared" si="12"/>
        <v>29</v>
      </c>
      <c r="V36" s="7">
        <f t="shared" si="13"/>
        <v>31</v>
      </c>
    </row>
    <row r="37" spans="1:22" x14ac:dyDescent="0.25">
      <c r="A37" s="4">
        <f t="shared" si="14"/>
        <v>44686.583333333256</v>
      </c>
      <c r="B37" s="7">
        <f>VLOOKUP("l" &amp; B$3 &amp; TEXT(DataLog[[#This Row],[Time]],"yyyymmddhhmmss"),DataTable!$A:$B,2,FALSE)</f>
        <v>37.700000762939453</v>
      </c>
      <c r="C37" s="7">
        <f t="shared" si="0"/>
        <v>36</v>
      </c>
      <c r="D37" s="7">
        <f t="shared" si="15"/>
        <v>38</v>
      </c>
      <c r="E37" s="7">
        <f>VLOOKUP("l" &amp; E$3 &amp; TEXT(DataLog[[#This Row],[Time]],"yyyymmddhhmmss"),DataTable!$A:$B,2,FALSE)</f>
        <v>35.799999237060547</v>
      </c>
      <c r="F37" s="7">
        <f t="shared" si="2"/>
        <v>35</v>
      </c>
      <c r="G37" s="7">
        <f t="shared" si="16"/>
        <v>37</v>
      </c>
      <c r="H37" s="7">
        <f>VLOOKUP("l" &amp; H$3 &amp; TEXT(DataLog[[#This Row],[Time]],"yyyymmddhhmmss"),DataTable!$A:$B,2,FALSE)</f>
        <v>35</v>
      </c>
      <c r="I37" s="7">
        <f t="shared" si="4"/>
        <v>34</v>
      </c>
      <c r="J37" s="7">
        <f t="shared" si="5"/>
        <v>36</v>
      </c>
      <c r="K37" s="7">
        <f>VLOOKUP("l" &amp; K$3 &amp; TEXT(DataLog[[#This Row],[Time]],"yyyymmddhhmmss"),DataTable!$A:$B,2,FALSE)</f>
        <v>29.600000381469727</v>
      </c>
      <c r="L37" s="7">
        <f t="shared" si="6"/>
        <v>29</v>
      </c>
      <c r="M37" s="7">
        <f t="shared" si="7"/>
        <v>31</v>
      </c>
      <c r="N37" s="7">
        <f>VLOOKUP("l" &amp; N$3 &amp; TEXT(DataLog[[#This Row],[Time]],"yyyymmddhhmmss"),DataTable!$A:$B,2,FALSE)</f>
        <v>24.799999237060547</v>
      </c>
      <c r="O37" s="7">
        <f t="shared" si="8"/>
        <v>24</v>
      </c>
      <c r="P37" s="7">
        <f t="shared" si="9"/>
        <v>26</v>
      </c>
      <c r="Q37" s="7">
        <f>VLOOKUP("l" &amp; Q$3 &amp; TEXT(DataLog[[#This Row],[Time]],"yyyymmddhhmmss"),DataTable!$A:$B,2,FALSE)</f>
        <v>36.900001525878906</v>
      </c>
      <c r="R37" s="7">
        <f t="shared" si="10"/>
        <v>36</v>
      </c>
      <c r="S37" s="7">
        <f t="shared" si="11"/>
        <v>38</v>
      </c>
      <c r="T37" s="7">
        <f>VLOOKUP("l" &amp; T$3 &amp; TEXT(DataLog[[#This Row],[Time]],"yyyymmddhhmmss"),DataTable!$A:$B,2,FALSE)</f>
        <v>30.200000762939453</v>
      </c>
      <c r="U37" s="7">
        <f t="shared" si="12"/>
        <v>29</v>
      </c>
      <c r="V37" s="7">
        <f t="shared" si="13"/>
        <v>31</v>
      </c>
    </row>
    <row r="38" spans="1:22" x14ac:dyDescent="0.25">
      <c r="A38" s="4">
        <f t="shared" si="14"/>
        <v>44686.59374999992</v>
      </c>
      <c r="B38" s="7">
        <f>VLOOKUP("l" &amp; B$3 &amp; TEXT(DataLog[[#This Row],[Time]],"yyyymmddhhmmss"),DataTable!$A:$B,2,FALSE)</f>
        <v>37.099998474121094</v>
      </c>
      <c r="C38" s="7">
        <f t="shared" si="0"/>
        <v>36</v>
      </c>
      <c r="D38" s="7">
        <f t="shared" si="15"/>
        <v>38</v>
      </c>
      <c r="E38" s="7">
        <f>VLOOKUP("l" &amp; E$3 &amp; TEXT(DataLog[[#This Row],[Time]],"yyyymmddhhmmss"),DataTable!$A:$B,2,FALSE)</f>
        <v>36</v>
      </c>
      <c r="F38" s="7">
        <f t="shared" si="2"/>
        <v>35</v>
      </c>
      <c r="G38" s="7">
        <f t="shared" si="16"/>
        <v>37</v>
      </c>
      <c r="H38" s="7">
        <f>VLOOKUP("l" &amp; H$3 &amp; TEXT(DataLog[[#This Row],[Time]],"yyyymmddhhmmss"),DataTable!$A:$B,2,FALSE)</f>
        <v>35</v>
      </c>
      <c r="I38" s="7">
        <f t="shared" si="4"/>
        <v>34</v>
      </c>
      <c r="J38" s="7">
        <f t="shared" si="5"/>
        <v>36</v>
      </c>
      <c r="K38" s="7">
        <f>VLOOKUP("l" &amp; K$3 &amp; TEXT(DataLog[[#This Row],[Time]],"yyyymmddhhmmss"),DataTable!$A:$B,2,FALSE)</f>
        <v>29.600000381469727</v>
      </c>
      <c r="L38" s="7">
        <f t="shared" si="6"/>
        <v>29</v>
      </c>
      <c r="M38" s="7">
        <f t="shared" si="7"/>
        <v>31</v>
      </c>
      <c r="N38" s="7">
        <f>VLOOKUP("l" &amp; N$3 &amp; TEXT(DataLog[[#This Row],[Time]],"yyyymmddhhmmss"),DataTable!$A:$B,2,FALSE)</f>
        <v>24.799999237060547</v>
      </c>
      <c r="O38" s="7">
        <f t="shared" si="8"/>
        <v>24</v>
      </c>
      <c r="P38" s="7">
        <f t="shared" si="9"/>
        <v>26</v>
      </c>
      <c r="Q38" s="7">
        <f>VLOOKUP("l" &amp; Q$3 &amp; TEXT(DataLog[[#This Row],[Time]],"yyyymmddhhmmss"),DataTable!$A:$B,2,FALSE)</f>
        <v>36.700000762939453</v>
      </c>
      <c r="R38" s="7">
        <f t="shared" si="10"/>
        <v>36</v>
      </c>
      <c r="S38" s="7">
        <f t="shared" si="11"/>
        <v>38</v>
      </c>
      <c r="T38" s="7">
        <f>VLOOKUP("l" &amp; T$3 &amp; TEXT(DataLog[[#This Row],[Time]],"yyyymmddhhmmss"),DataTable!$A:$B,2,FALSE)</f>
        <v>30.200000762939453</v>
      </c>
      <c r="U38" s="7">
        <f t="shared" si="12"/>
        <v>29</v>
      </c>
      <c r="V38" s="7">
        <f t="shared" si="13"/>
        <v>31</v>
      </c>
    </row>
    <row r="39" spans="1:22" x14ac:dyDescent="0.25">
      <c r="A39" s="4">
        <f t="shared" si="14"/>
        <v>44686.604166666584</v>
      </c>
      <c r="B39" s="7">
        <f>VLOOKUP("l" &amp; B$3 &amp; TEXT(DataLog[[#This Row],[Time]],"yyyymmddhhmmss"),DataTable!$A:$B,2,FALSE)</f>
        <v>37.700000762939453</v>
      </c>
      <c r="C39" s="7">
        <f t="shared" si="0"/>
        <v>36</v>
      </c>
      <c r="D39" s="7">
        <f t="shared" si="15"/>
        <v>38</v>
      </c>
      <c r="E39" s="7">
        <f>VLOOKUP("l" &amp; E$3 &amp; TEXT(DataLog[[#This Row],[Time]],"yyyymmddhhmmss"),DataTable!$A:$B,2,FALSE)</f>
        <v>36.599998474121094</v>
      </c>
      <c r="F39" s="7">
        <f t="shared" si="2"/>
        <v>35</v>
      </c>
      <c r="G39" s="7">
        <f t="shared" si="16"/>
        <v>37</v>
      </c>
      <c r="H39" s="7">
        <f>VLOOKUP("l" &amp; H$3 &amp; TEXT(DataLog[[#This Row],[Time]],"yyyymmddhhmmss"),DataTable!$A:$B,2,FALSE)</f>
        <v>35</v>
      </c>
      <c r="I39" s="7">
        <f t="shared" si="4"/>
        <v>34</v>
      </c>
      <c r="J39" s="7">
        <f t="shared" si="5"/>
        <v>36</v>
      </c>
      <c r="K39" s="7">
        <f>VLOOKUP("l" &amp; K$3 &amp; TEXT(DataLog[[#This Row],[Time]],"yyyymmddhhmmss"),DataTable!$A:$B,2,FALSE)</f>
        <v>29.799999237060547</v>
      </c>
      <c r="L39" s="7">
        <f t="shared" si="6"/>
        <v>29</v>
      </c>
      <c r="M39" s="7">
        <f t="shared" si="7"/>
        <v>31</v>
      </c>
      <c r="N39" s="7">
        <f>VLOOKUP("l" &amp; N$3 &amp; TEXT(DataLog[[#This Row],[Time]],"yyyymmddhhmmss"),DataTable!$A:$B,2,FALSE)</f>
        <v>24.799999237060547</v>
      </c>
      <c r="O39" s="7">
        <f t="shared" si="8"/>
        <v>24</v>
      </c>
      <c r="P39" s="7">
        <f t="shared" si="9"/>
        <v>26</v>
      </c>
      <c r="Q39" s="7">
        <f>VLOOKUP("l" &amp; Q$3 &amp; TEXT(DataLog[[#This Row],[Time]],"yyyymmddhhmmss"),DataTable!$A:$B,2,FALSE)</f>
        <v>36.700000762939453</v>
      </c>
      <c r="R39" s="7">
        <f t="shared" si="10"/>
        <v>36</v>
      </c>
      <c r="S39" s="7">
        <f t="shared" si="11"/>
        <v>38</v>
      </c>
      <c r="T39" s="7">
        <f>VLOOKUP("l" &amp; T$3 &amp; TEXT(DataLog[[#This Row],[Time]],"yyyymmddhhmmss"),DataTable!$A:$B,2,FALSE)</f>
        <v>30</v>
      </c>
      <c r="U39" s="7">
        <f t="shared" si="12"/>
        <v>29</v>
      </c>
      <c r="V39" s="7">
        <f t="shared" si="13"/>
        <v>31</v>
      </c>
    </row>
    <row r="40" spans="1:22" x14ac:dyDescent="0.25">
      <c r="A40" s="4">
        <f t="shared" si="14"/>
        <v>44686.614583333248</v>
      </c>
      <c r="B40" s="7">
        <f>VLOOKUP("l" &amp; B$3 &amp; TEXT(DataLog[[#This Row],[Time]],"yyyymmddhhmmss"),DataTable!$A:$B,2,FALSE)</f>
        <v>37.099998474121094</v>
      </c>
      <c r="C40" s="7">
        <f t="shared" si="0"/>
        <v>36</v>
      </c>
      <c r="D40" s="7">
        <f t="shared" si="15"/>
        <v>38</v>
      </c>
      <c r="E40" s="7">
        <f>VLOOKUP("l" &amp; E$3 &amp; TEXT(DataLog[[#This Row],[Time]],"yyyymmddhhmmss"),DataTable!$A:$B,2,FALSE)</f>
        <v>36.400001525878906</v>
      </c>
      <c r="F40" s="7">
        <f t="shared" si="2"/>
        <v>35</v>
      </c>
      <c r="G40" s="7">
        <f t="shared" si="16"/>
        <v>37</v>
      </c>
      <c r="H40" s="7">
        <f>VLOOKUP("l" &amp; H$3 &amp; TEXT(DataLog[[#This Row],[Time]],"yyyymmddhhmmss"),DataTable!$A:$B,2,FALSE)</f>
        <v>35</v>
      </c>
      <c r="I40" s="7">
        <f t="shared" si="4"/>
        <v>34</v>
      </c>
      <c r="J40" s="7">
        <f t="shared" si="5"/>
        <v>36</v>
      </c>
      <c r="K40" s="7">
        <f>VLOOKUP("l" &amp; K$3 &amp; TEXT(DataLog[[#This Row],[Time]],"yyyymmddhhmmss"),DataTable!$A:$B,2,FALSE)</f>
        <v>29.600000381469727</v>
      </c>
      <c r="L40" s="7">
        <f t="shared" si="6"/>
        <v>29</v>
      </c>
      <c r="M40" s="7">
        <f t="shared" si="7"/>
        <v>31</v>
      </c>
      <c r="N40" s="7">
        <f>VLOOKUP("l" &amp; N$3 &amp; TEXT(DataLog[[#This Row],[Time]],"yyyymmddhhmmss"),DataTable!$A:$B,2,FALSE)</f>
        <v>24.600000381469727</v>
      </c>
      <c r="O40" s="7">
        <f t="shared" si="8"/>
        <v>24</v>
      </c>
      <c r="P40" s="7">
        <f t="shared" si="9"/>
        <v>26</v>
      </c>
      <c r="Q40" s="7">
        <f>VLOOKUP("l" &amp; Q$3 &amp; TEXT(DataLog[[#This Row],[Time]],"yyyymmddhhmmss"),DataTable!$A:$B,2,FALSE)</f>
        <v>37.099998474121094</v>
      </c>
      <c r="R40" s="7">
        <f t="shared" si="10"/>
        <v>36</v>
      </c>
      <c r="S40" s="7">
        <f t="shared" si="11"/>
        <v>38</v>
      </c>
      <c r="T40" s="7">
        <f>VLOOKUP("l" &amp; T$3 &amp; TEXT(DataLog[[#This Row],[Time]],"yyyymmddhhmmss"),DataTable!$A:$B,2,FALSE)</f>
        <v>30</v>
      </c>
      <c r="U40" s="7">
        <f t="shared" si="12"/>
        <v>29</v>
      </c>
      <c r="V40" s="7">
        <f t="shared" si="13"/>
        <v>31</v>
      </c>
    </row>
    <row r="41" spans="1:22" x14ac:dyDescent="0.25">
      <c r="A41" s="4">
        <f t="shared" si="14"/>
        <v>44686.624999999913</v>
      </c>
      <c r="B41" s="7">
        <f>VLOOKUP("l" &amp; B$3 &amp; TEXT(DataLog[[#This Row],[Time]],"yyyymmddhhmmss"),DataTable!$A:$B,2,FALSE)</f>
        <v>37.900001525878906</v>
      </c>
      <c r="C41" s="7">
        <f t="shared" si="0"/>
        <v>36</v>
      </c>
      <c r="D41" s="7">
        <f t="shared" si="15"/>
        <v>38</v>
      </c>
      <c r="E41" s="7">
        <f>VLOOKUP("l" &amp; E$3 &amp; TEXT(DataLog[[#This Row],[Time]],"yyyymmddhhmmss"),DataTable!$A:$B,2,FALSE)</f>
        <v>35.599998474121094</v>
      </c>
      <c r="F41" s="7">
        <f t="shared" si="2"/>
        <v>35</v>
      </c>
      <c r="G41" s="7">
        <f t="shared" si="16"/>
        <v>37</v>
      </c>
      <c r="H41" s="7">
        <f>VLOOKUP("l" &amp; H$3 &amp; TEXT(DataLog[[#This Row],[Time]],"yyyymmddhhmmss"),DataTable!$A:$B,2,FALSE)</f>
        <v>35</v>
      </c>
      <c r="I41" s="7">
        <f t="shared" si="4"/>
        <v>34</v>
      </c>
      <c r="J41" s="7">
        <f t="shared" si="5"/>
        <v>36</v>
      </c>
      <c r="K41" s="7">
        <f>VLOOKUP("l" &amp; K$3 &amp; TEXT(DataLog[[#This Row],[Time]],"yyyymmddhhmmss"),DataTable!$A:$B,2,FALSE)</f>
        <v>29.600000381469727</v>
      </c>
      <c r="L41" s="7">
        <f t="shared" si="6"/>
        <v>29</v>
      </c>
      <c r="M41" s="7">
        <f t="shared" si="7"/>
        <v>31</v>
      </c>
      <c r="N41" s="7">
        <f>VLOOKUP("l" &amp; N$3 &amp; TEXT(DataLog[[#This Row],[Time]],"yyyymmddhhmmss"),DataTable!$A:$B,2,FALSE)</f>
        <v>24.600000381469727</v>
      </c>
      <c r="O41" s="7">
        <f t="shared" si="8"/>
        <v>24</v>
      </c>
      <c r="P41" s="7">
        <f t="shared" si="9"/>
        <v>26</v>
      </c>
      <c r="Q41" s="7">
        <f>VLOOKUP("l" &amp; Q$3 &amp; TEXT(DataLog[[#This Row],[Time]],"yyyymmddhhmmss"),DataTable!$A:$B,2,FALSE)</f>
        <v>37.099998474121094</v>
      </c>
      <c r="R41" s="7">
        <f t="shared" si="10"/>
        <v>36</v>
      </c>
      <c r="S41" s="7">
        <f t="shared" si="11"/>
        <v>38</v>
      </c>
      <c r="T41" s="7">
        <f>VLOOKUP("l" &amp; T$3 &amp; TEXT(DataLog[[#This Row],[Time]],"yyyymmddhhmmss"),DataTable!$A:$B,2,FALSE)</f>
        <v>29.799999237060547</v>
      </c>
      <c r="U41" s="7">
        <f t="shared" si="12"/>
        <v>29</v>
      </c>
      <c r="V41" s="7">
        <f t="shared" si="13"/>
        <v>31</v>
      </c>
    </row>
    <row r="42" spans="1:22" x14ac:dyDescent="0.25">
      <c r="A42" s="4">
        <f t="shared" si="14"/>
        <v>44686.635416666577</v>
      </c>
      <c r="B42" s="7">
        <f>VLOOKUP("l" &amp; B$3 &amp; TEXT(DataLog[[#This Row],[Time]],"yyyymmddhhmmss"),DataTable!$A:$B,2,FALSE)</f>
        <v>37.5</v>
      </c>
      <c r="C42" s="7">
        <f t="shared" si="0"/>
        <v>36</v>
      </c>
      <c r="D42" s="7">
        <f t="shared" si="15"/>
        <v>38</v>
      </c>
      <c r="E42" s="7">
        <f>VLOOKUP("l" &amp; E$3 &amp; TEXT(DataLog[[#This Row],[Time]],"yyyymmddhhmmss"),DataTable!$A:$B,2,FALSE)</f>
        <v>36.200000762939453</v>
      </c>
      <c r="F42" s="7">
        <f t="shared" si="2"/>
        <v>35</v>
      </c>
      <c r="G42" s="7">
        <f t="shared" si="16"/>
        <v>37</v>
      </c>
      <c r="H42" s="7">
        <f>VLOOKUP("l" &amp; H$3 &amp; TEXT(DataLog[[#This Row],[Time]],"yyyymmddhhmmss"),DataTable!$A:$B,2,FALSE)</f>
        <v>35</v>
      </c>
      <c r="I42" s="7">
        <f t="shared" si="4"/>
        <v>34</v>
      </c>
      <c r="J42" s="7">
        <f t="shared" si="5"/>
        <v>36</v>
      </c>
      <c r="K42" s="7">
        <f>VLOOKUP("l" &amp; K$3 &amp; TEXT(DataLog[[#This Row],[Time]],"yyyymmddhhmmss"),DataTable!$A:$B,2,FALSE)</f>
        <v>29.600000381469727</v>
      </c>
      <c r="L42" s="7">
        <f t="shared" si="6"/>
        <v>29</v>
      </c>
      <c r="M42" s="7">
        <f t="shared" si="7"/>
        <v>31</v>
      </c>
      <c r="N42" s="7">
        <f>VLOOKUP("l" &amp; N$3 &amp; TEXT(DataLog[[#This Row],[Time]],"yyyymmddhhmmss"),DataTable!$A:$B,2,FALSE)</f>
        <v>24.600000381469727</v>
      </c>
      <c r="O42" s="7">
        <f t="shared" si="8"/>
        <v>24</v>
      </c>
      <c r="P42" s="7">
        <f t="shared" si="9"/>
        <v>26</v>
      </c>
      <c r="Q42" s="7">
        <f>VLOOKUP("l" &amp; Q$3 &amp; TEXT(DataLog[[#This Row],[Time]],"yyyymmddhhmmss"),DataTable!$A:$B,2,FALSE)</f>
        <v>37.099998474121094</v>
      </c>
      <c r="R42" s="7">
        <f t="shared" si="10"/>
        <v>36</v>
      </c>
      <c r="S42" s="7">
        <f t="shared" si="11"/>
        <v>38</v>
      </c>
      <c r="T42" s="7">
        <f>VLOOKUP("l" &amp; T$3 &amp; TEXT(DataLog[[#This Row],[Time]],"yyyymmddhhmmss"),DataTable!$A:$B,2,FALSE)</f>
        <v>30.200000762939453</v>
      </c>
      <c r="U42" s="7">
        <f t="shared" si="12"/>
        <v>29</v>
      </c>
      <c r="V42" s="7">
        <f t="shared" si="13"/>
        <v>31</v>
      </c>
    </row>
    <row r="43" spans="1:22" x14ac:dyDescent="0.25">
      <c r="A43" s="4">
        <f t="shared" si="14"/>
        <v>44686.645833333241</v>
      </c>
      <c r="B43" s="7">
        <f>VLOOKUP("l" &amp; B$3 &amp; TEXT(DataLog[[#This Row],[Time]],"yyyymmddhhmmss"),DataTable!$A:$B,2,FALSE)</f>
        <v>37.5</v>
      </c>
      <c r="C43" s="7">
        <f t="shared" si="0"/>
        <v>36</v>
      </c>
      <c r="D43" s="7">
        <f t="shared" si="15"/>
        <v>38</v>
      </c>
      <c r="E43" s="7">
        <f>VLOOKUP("l" &amp; E$3 &amp; TEXT(DataLog[[#This Row],[Time]],"yyyymmddhhmmss"),DataTable!$A:$B,2,FALSE)</f>
        <v>36.799999237060547</v>
      </c>
      <c r="F43" s="7">
        <f t="shared" si="2"/>
        <v>35</v>
      </c>
      <c r="G43" s="7">
        <f t="shared" si="16"/>
        <v>37</v>
      </c>
      <c r="H43" s="7">
        <f>VLOOKUP("l" &amp; H$3 &amp; TEXT(DataLog[[#This Row],[Time]],"yyyymmddhhmmss"),DataTable!$A:$B,2,FALSE)</f>
        <v>35.200000762939453</v>
      </c>
      <c r="I43" s="7">
        <f t="shared" si="4"/>
        <v>34</v>
      </c>
      <c r="J43" s="7">
        <f t="shared" si="5"/>
        <v>36</v>
      </c>
      <c r="K43" s="7">
        <f>VLOOKUP("l" &amp; K$3 &amp; TEXT(DataLog[[#This Row],[Time]],"yyyymmddhhmmss"),DataTable!$A:$B,2,FALSE)</f>
        <v>29.600000381469727</v>
      </c>
      <c r="L43" s="7">
        <f t="shared" si="6"/>
        <v>29</v>
      </c>
      <c r="M43" s="7">
        <f t="shared" si="7"/>
        <v>31</v>
      </c>
      <c r="N43" s="7">
        <f>VLOOKUP("l" &amp; N$3 &amp; TEXT(DataLog[[#This Row],[Time]],"yyyymmddhhmmss"),DataTable!$A:$B,2,FALSE)</f>
        <v>24.600000381469727</v>
      </c>
      <c r="O43" s="7">
        <f t="shared" si="8"/>
        <v>24</v>
      </c>
      <c r="P43" s="7">
        <f t="shared" si="9"/>
        <v>26</v>
      </c>
      <c r="Q43" s="7">
        <f>VLOOKUP("l" &amp; Q$3 &amp; TEXT(DataLog[[#This Row],[Time]],"yyyymmddhhmmss"),DataTable!$A:$B,2,FALSE)</f>
        <v>36.900001525878906</v>
      </c>
      <c r="R43" s="7">
        <f t="shared" si="10"/>
        <v>36</v>
      </c>
      <c r="S43" s="7">
        <f t="shared" si="11"/>
        <v>38</v>
      </c>
      <c r="T43" s="7">
        <f>VLOOKUP("l" &amp; T$3 &amp; TEXT(DataLog[[#This Row],[Time]],"yyyymmddhhmmss"),DataTable!$A:$B,2,FALSE)</f>
        <v>30.399999618530273</v>
      </c>
      <c r="U43" s="7">
        <f t="shared" si="12"/>
        <v>29</v>
      </c>
      <c r="V43" s="7">
        <f t="shared" si="13"/>
        <v>31</v>
      </c>
    </row>
    <row r="44" spans="1:22" x14ac:dyDescent="0.25">
      <c r="A44" s="4">
        <f t="shared" si="14"/>
        <v>44686.656249999905</v>
      </c>
      <c r="B44" s="7">
        <f>VLOOKUP("l" &amp; B$3 &amp; TEXT(DataLog[[#This Row],[Time]],"yyyymmddhhmmss"),DataTable!$A:$B,2,FALSE)</f>
        <v>37.5</v>
      </c>
      <c r="C44" s="7">
        <f t="shared" si="0"/>
        <v>36</v>
      </c>
      <c r="D44" s="7">
        <f t="shared" si="15"/>
        <v>38</v>
      </c>
      <c r="E44" s="7">
        <f>VLOOKUP("l" &amp; E$3 &amp; TEXT(DataLog[[#This Row],[Time]],"yyyymmddhhmmss"),DataTable!$A:$B,2,FALSE)</f>
        <v>36.400001525878906</v>
      </c>
      <c r="F44" s="7">
        <f t="shared" si="2"/>
        <v>35</v>
      </c>
      <c r="G44" s="7">
        <f t="shared" si="16"/>
        <v>37</v>
      </c>
      <c r="H44" s="7">
        <f>VLOOKUP("l" &amp; H$3 &amp; TEXT(DataLog[[#This Row],[Time]],"yyyymmddhhmmss"),DataTable!$A:$B,2,FALSE)</f>
        <v>35</v>
      </c>
      <c r="I44" s="7">
        <f t="shared" si="4"/>
        <v>34</v>
      </c>
      <c r="J44" s="7">
        <f t="shared" si="5"/>
        <v>36</v>
      </c>
      <c r="K44" s="7">
        <f>VLOOKUP("l" &amp; K$3 &amp; TEXT(DataLog[[#This Row],[Time]],"yyyymmddhhmmss"),DataTable!$A:$B,2,FALSE)</f>
        <v>29.600000381469727</v>
      </c>
      <c r="L44" s="7">
        <f t="shared" si="6"/>
        <v>29</v>
      </c>
      <c r="M44" s="7">
        <f t="shared" si="7"/>
        <v>31</v>
      </c>
      <c r="N44" s="7">
        <f>VLOOKUP("l" &amp; N$3 &amp; TEXT(DataLog[[#This Row],[Time]],"yyyymmddhhmmss"),DataTable!$A:$B,2,FALSE)</f>
        <v>24.600000381469727</v>
      </c>
      <c r="O44" s="7">
        <f t="shared" si="8"/>
        <v>24</v>
      </c>
      <c r="P44" s="7">
        <f t="shared" si="9"/>
        <v>26</v>
      </c>
      <c r="Q44" s="7">
        <f>VLOOKUP("l" &amp; Q$3 &amp; TEXT(DataLog[[#This Row],[Time]],"yyyymmddhhmmss"),DataTable!$A:$B,2,FALSE)</f>
        <v>37.099998474121094</v>
      </c>
      <c r="R44" s="7">
        <f t="shared" si="10"/>
        <v>36</v>
      </c>
      <c r="S44" s="7">
        <f t="shared" si="11"/>
        <v>38</v>
      </c>
      <c r="T44" s="7">
        <f>VLOOKUP("l" &amp; T$3 &amp; TEXT(DataLog[[#This Row],[Time]],"yyyymmddhhmmss"),DataTable!$A:$B,2,FALSE)</f>
        <v>30.399999618530273</v>
      </c>
      <c r="U44" s="7">
        <f t="shared" si="12"/>
        <v>29</v>
      </c>
      <c r="V44" s="7">
        <f t="shared" si="13"/>
        <v>31</v>
      </c>
    </row>
    <row r="45" spans="1:22" x14ac:dyDescent="0.25">
      <c r="A45" s="4">
        <f t="shared" si="14"/>
        <v>44686.66666666657</v>
      </c>
      <c r="B45" s="7">
        <f>VLOOKUP("l" &amp; B$3 &amp; TEXT(DataLog[[#This Row],[Time]],"yyyymmddhhmmss"),DataTable!$A:$B,2,FALSE)</f>
        <v>37.5</v>
      </c>
      <c r="C45" s="7">
        <f t="shared" si="0"/>
        <v>36</v>
      </c>
      <c r="D45" s="7">
        <f t="shared" si="15"/>
        <v>38</v>
      </c>
      <c r="E45" s="7">
        <f>VLOOKUP("l" &amp; E$3 &amp; TEXT(DataLog[[#This Row],[Time]],"yyyymmddhhmmss"),DataTable!$A:$B,2,FALSE)</f>
        <v>35.400001525878906</v>
      </c>
      <c r="F45" s="7">
        <f t="shared" si="2"/>
        <v>35</v>
      </c>
      <c r="G45" s="7">
        <f t="shared" si="16"/>
        <v>37</v>
      </c>
      <c r="H45" s="7">
        <f>VLOOKUP("l" &amp; H$3 &amp; TEXT(DataLog[[#This Row],[Time]],"yyyymmddhhmmss"),DataTable!$A:$B,2,FALSE)</f>
        <v>34.799999237060547</v>
      </c>
      <c r="I45" s="7">
        <f t="shared" si="4"/>
        <v>34</v>
      </c>
      <c r="J45" s="7">
        <f t="shared" si="5"/>
        <v>36</v>
      </c>
      <c r="K45" s="7">
        <f>VLOOKUP("l" &amp; K$3 &amp; TEXT(DataLog[[#This Row],[Time]],"yyyymmddhhmmss"),DataTable!$A:$B,2,FALSE)</f>
        <v>29.600000381469727</v>
      </c>
      <c r="L45" s="7">
        <f t="shared" si="6"/>
        <v>29</v>
      </c>
      <c r="M45" s="7">
        <f t="shared" si="7"/>
        <v>31</v>
      </c>
      <c r="N45" s="7">
        <f>VLOOKUP("l" &amp; N$3 &amp; TEXT(DataLog[[#This Row],[Time]],"yyyymmddhhmmss"),DataTable!$A:$B,2,FALSE)</f>
        <v>24.600000381469727</v>
      </c>
      <c r="O45" s="7">
        <f t="shared" si="8"/>
        <v>24</v>
      </c>
      <c r="P45" s="7">
        <f t="shared" si="9"/>
        <v>26</v>
      </c>
      <c r="Q45" s="7">
        <f>VLOOKUP("l" &amp; Q$3 &amp; TEXT(DataLog[[#This Row],[Time]],"yyyymmddhhmmss"),DataTable!$A:$B,2,FALSE)</f>
        <v>36.900001525878906</v>
      </c>
      <c r="R45" s="7">
        <f t="shared" si="10"/>
        <v>36</v>
      </c>
      <c r="S45" s="7">
        <f t="shared" si="11"/>
        <v>38</v>
      </c>
      <c r="T45" s="7">
        <f>VLOOKUP("l" &amp; T$3 &amp; TEXT(DataLog[[#This Row],[Time]],"yyyymmddhhmmss"),DataTable!$A:$B,2,FALSE)</f>
        <v>30.200000762939453</v>
      </c>
      <c r="U45" s="7">
        <f t="shared" si="12"/>
        <v>29</v>
      </c>
      <c r="V45" s="7">
        <f t="shared" si="13"/>
        <v>31</v>
      </c>
    </row>
    <row r="46" spans="1:22" x14ac:dyDescent="0.25">
      <c r="A46" s="4">
        <f t="shared" si="14"/>
        <v>44686.677083333234</v>
      </c>
      <c r="B46" s="7">
        <f>VLOOKUP("l" &amp; B$3 &amp; TEXT(DataLog[[#This Row],[Time]],"yyyymmddhhmmss"),DataTable!$A:$B,2,FALSE)</f>
        <v>37.099998474121094</v>
      </c>
      <c r="C46" s="7">
        <f t="shared" si="0"/>
        <v>36</v>
      </c>
      <c r="D46" s="7">
        <f t="shared" si="15"/>
        <v>38</v>
      </c>
      <c r="E46" s="7">
        <f>VLOOKUP("l" &amp; E$3 &amp; TEXT(DataLog[[#This Row],[Time]],"yyyymmddhhmmss"),DataTable!$A:$B,2,FALSE)</f>
        <v>36.200000762939453</v>
      </c>
      <c r="F46" s="7">
        <f t="shared" si="2"/>
        <v>35</v>
      </c>
      <c r="G46" s="7">
        <f t="shared" si="16"/>
        <v>37</v>
      </c>
      <c r="H46" s="7">
        <f>VLOOKUP("l" &amp; H$3 &amp; TEXT(DataLog[[#This Row],[Time]],"yyyymmddhhmmss"),DataTable!$A:$B,2,FALSE)</f>
        <v>35.200000762939453</v>
      </c>
      <c r="I46" s="7">
        <f t="shared" si="4"/>
        <v>34</v>
      </c>
      <c r="J46" s="7">
        <f t="shared" si="5"/>
        <v>36</v>
      </c>
      <c r="K46" s="7">
        <f>VLOOKUP("l" &amp; K$3 &amp; TEXT(DataLog[[#This Row],[Time]],"yyyymmddhhmmss"),DataTable!$A:$B,2,FALSE)</f>
        <v>29.600000381469727</v>
      </c>
      <c r="L46" s="7">
        <f t="shared" si="6"/>
        <v>29</v>
      </c>
      <c r="M46" s="7">
        <f t="shared" si="7"/>
        <v>31</v>
      </c>
      <c r="N46" s="7">
        <f>VLOOKUP("l" &amp; N$3 &amp; TEXT(DataLog[[#This Row],[Time]],"yyyymmddhhmmss"),DataTable!$A:$B,2,FALSE)</f>
        <v>24.600000381469727</v>
      </c>
      <c r="O46" s="7">
        <f t="shared" si="8"/>
        <v>24</v>
      </c>
      <c r="P46" s="7">
        <f t="shared" si="9"/>
        <v>26</v>
      </c>
      <c r="Q46" s="7">
        <f>VLOOKUP("l" &amp; Q$3 &amp; TEXT(DataLog[[#This Row],[Time]],"yyyymmddhhmmss"),DataTable!$A:$B,2,FALSE)</f>
        <v>36.700000762939453</v>
      </c>
      <c r="R46" s="7">
        <f t="shared" si="10"/>
        <v>36</v>
      </c>
      <c r="S46" s="7">
        <f t="shared" si="11"/>
        <v>38</v>
      </c>
      <c r="T46" s="7">
        <f>VLOOKUP("l" &amp; T$3 &amp; TEXT(DataLog[[#This Row],[Time]],"yyyymmddhhmmss"),DataTable!$A:$B,2,FALSE)</f>
        <v>30</v>
      </c>
      <c r="U46" s="7">
        <f t="shared" si="12"/>
        <v>29</v>
      </c>
      <c r="V46" s="7">
        <f t="shared" si="13"/>
        <v>31</v>
      </c>
    </row>
    <row r="47" spans="1:22" x14ac:dyDescent="0.25">
      <c r="A47" s="4">
        <f t="shared" si="14"/>
        <v>44686.687499999898</v>
      </c>
      <c r="B47" s="7">
        <f>VLOOKUP("l" &amp; B$3 &amp; TEXT(DataLog[[#This Row],[Time]],"yyyymmddhhmmss"),DataTable!$A:$B,2,FALSE)</f>
        <v>37.700000762939453</v>
      </c>
      <c r="C47" s="7">
        <f t="shared" si="0"/>
        <v>36</v>
      </c>
      <c r="D47" s="7">
        <f t="shared" si="15"/>
        <v>38</v>
      </c>
      <c r="E47" s="7">
        <f>VLOOKUP("l" &amp; E$3 &amp; TEXT(DataLog[[#This Row],[Time]],"yyyymmddhhmmss"),DataTable!$A:$B,2,FALSE)</f>
        <v>36.400001525878906</v>
      </c>
      <c r="F47" s="7">
        <f t="shared" si="2"/>
        <v>35</v>
      </c>
      <c r="G47" s="7">
        <f t="shared" si="16"/>
        <v>37</v>
      </c>
      <c r="H47" s="7">
        <f>VLOOKUP("l" &amp; H$3 &amp; TEXT(DataLog[[#This Row],[Time]],"yyyymmddhhmmss"),DataTable!$A:$B,2,FALSE)</f>
        <v>34.799999237060547</v>
      </c>
      <c r="I47" s="7">
        <f t="shared" si="4"/>
        <v>34</v>
      </c>
      <c r="J47" s="7">
        <f t="shared" si="5"/>
        <v>36</v>
      </c>
      <c r="K47" s="7">
        <f>VLOOKUP("l" &amp; K$3 &amp; TEXT(DataLog[[#This Row],[Time]],"yyyymmddhhmmss"),DataTable!$A:$B,2,FALSE)</f>
        <v>29.600000381469727</v>
      </c>
      <c r="L47" s="7">
        <f t="shared" si="6"/>
        <v>29</v>
      </c>
      <c r="M47" s="7">
        <f t="shared" si="7"/>
        <v>31</v>
      </c>
      <c r="N47" s="7">
        <f>VLOOKUP("l" &amp; N$3 &amp; TEXT(DataLog[[#This Row],[Time]],"yyyymmddhhmmss"),DataTable!$A:$B,2,FALSE)</f>
        <v>24.600000381469727</v>
      </c>
      <c r="O47" s="7">
        <f t="shared" si="8"/>
        <v>24</v>
      </c>
      <c r="P47" s="7">
        <f t="shared" si="9"/>
        <v>26</v>
      </c>
      <c r="Q47" s="7">
        <f>VLOOKUP("l" &amp; Q$3 &amp; TEXT(DataLog[[#This Row],[Time]],"yyyymmddhhmmss"),DataTable!$A:$B,2,FALSE)</f>
        <v>36.700000762939453</v>
      </c>
      <c r="R47" s="7">
        <f t="shared" si="10"/>
        <v>36</v>
      </c>
      <c r="S47" s="7">
        <f t="shared" si="11"/>
        <v>38</v>
      </c>
      <c r="T47" s="7">
        <f>VLOOKUP("l" &amp; T$3 &amp; TEXT(DataLog[[#This Row],[Time]],"yyyymmddhhmmss"),DataTable!$A:$B,2,FALSE)</f>
        <v>29.799999237060547</v>
      </c>
      <c r="U47" s="7">
        <f t="shared" si="12"/>
        <v>29</v>
      </c>
      <c r="V47" s="7">
        <f t="shared" si="13"/>
        <v>31</v>
      </c>
    </row>
    <row r="48" spans="1:22" x14ac:dyDescent="0.25">
      <c r="A48" s="4">
        <f t="shared" si="14"/>
        <v>44686.697916666562</v>
      </c>
      <c r="B48" s="7">
        <f>VLOOKUP("l" &amp; B$3 &amp; TEXT(DataLog[[#This Row],[Time]],"yyyymmddhhmmss"),DataTable!$A:$B,2,FALSE)</f>
        <v>37.299999237060547</v>
      </c>
      <c r="C48" s="7">
        <f t="shared" si="0"/>
        <v>36</v>
      </c>
      <c r="D48" s="7">
        <f t="shared" si="15"/>
        <v>38</v>
      </c>
      <c r="E48" s="7">
        <f>VLOOKUP("l" &amp; E$3 &amp; TEXT(DataLog[[#This Row],[Time]],"yyyymmddhhmmss"),DataTable!$A:$B,2,FALSE)</f>
        <v>36</v>
      </c>
      <c r="F48" s="7">
        <f t="shared" si="2"/>
        <v>35</v>
      </c>
      <c r="G48" s="7">
        <f t="shared" si="16"/>
        <v>37</v>
      </c>
      <c r="H48" s="7">
        <f>VLOOKUP("l" &amp; H$3 &amp; TEXT(DataLog[[#This Row],[Time]],"yyyymmddhhmmss"),DataTable!$A:$B,2,FALSE)</f>
        <v>35.200000762939453</v>
      </c>
      <c r="I48" s="7">
        <f t="shared" si="4"/>
        <v>34</v>
      </c>
      <c r="J48" s="7">
        <f t="shared" si="5"/>
        <v>36</v>
      </c>
      <c r="K48" s="7">
        <f>VLOOKUP("l" &amp; K$3 &amp; TEXT(DataLog[[#This Row],[Time]],"yyyymmddhhmmss"),DataTable!$A:$B,2,FALSE)</f>
        <v>29.600000381469727</v>
      </c>
      <c r="L48" s="7">
        <f t="shared" si="6"/>
        <v>29</v>
      </c>
      <c r="M48" s="7">
        <f t="shared" si="7"/>
        <v>31</v>
      </c>
      <c r="N48" s="7">
        <f>VLOOKUP("l" &amp; N$3 &amp; TEXT(DataLog[[#This Row],[Time]],"yyyymmddhhmmss"),DataTable!$A:$B,2,FALSE)</f>
        <v>24.399999618530273</v>
      </c>
      <c r="O48" s="7">
        <f t="shared" si="8"/>
        <v>24</v>
      </c>
      <c r="P48" s="7">
        <f t="shared" si="9"/>
        <v>26</v>
      </c>
      <c r="Q48" s="7">
        <f>VLOOKUP("l" &amp; Q$3 &amp; TEXT(DataLog[[#This Row],[Time]],"yyyymmddhhmmss"),DataTable!$A:$B,2,FALSE)</f>
        <v>37.099998474121094</v>
      </c>
      <c r="R48" s="7">
        <f t="shared" si="10"/>
        <v>36</v>
      </c>
      <c r="S48" s="7">
        <f t="shared" si="11"/>
        <v>38</v>
      </c>
      <c r="T48" s="7">
        <f>VLOOKUP("l" &amp; T$3 &amp; TEXT(DataLog[[#This Row],[Time]],"yyyymmddhhmmss"),DataTable!$A:$B,2,FALSE)</f>
        <v>30</v>
      </c>
      <c r="U48" s="7">
        <f t="shared" si="12"/>
        <v>29</v>
      </c>
      <c r="V48" s="7">
        <f t="shared" si="13"/>
        <v>31</v>
      </c>
    </row>
    <row r="49" spans="1:22" x14ac:dyDescent="0.25">
      <c r="A49" s="4">
        <f t="shared" si="14"/>
        <v>44686.708333333227</v>
      </c>
      <c r="B49" s="7">
        <f>VLOOKUP("l" &amp; B$3 &amp; TEXT(DataLog[[#This Row],[Time]],"yyyymmddhhmmss"),DataTable!$A:$B,2,FALSE)</f>
        <v>37.700000762939453</v>
      </c>
      <c r="C49" s="7">
        <f t="shared" si="0"/>
        <v>36</v>
      </c>
      <c r="D49" s="7">
        <f t="shared" si="15"/>
        <v>38</v>
      </c>
      <c r="E49" s="7">
        <f>VLOOKUP("l" &amp; E$3 &amp; TEXT(DataLog[[#This Row],[Time]],"yyyymmddhhmmss"),DataTable!$A:$B,2,FALSE)</f>
        <v>35.599998474121094</v>
      </c>
      <c r="F49" s="7">
        <f t="shared" si="2"/>
        <v>35</v>
      </c>
      <c r="G49" s="7">
        <f t="shared" si="16"/>
        <v>37</v>
      </c>
      <c r="H49" s="7">
        <f>VLOOKUP("l" &amp; H$3 &amp; TEXT(DataLog[[#This Row],[Time]],"yyyymmddhhmmss"),DataTable!$A:$B,2,FALSE)</f>
        <v>35</v>
      </c>
      <c r="I49" s="7">
        <f t="shared" si="4"/>
        <v>34</v>
      </c>
      <c r="J49" s="7">
        <f t="shared" si="5"/>
        <v>36</v>
      </c>
      <c r="K49" s="7">
        <f>VLOOKUP("l" &amp; K$3 &amp; TEXT(DataLog[[#This Row],[Time]],"yyyymmddhhmmss"),DataTable!$A:$B,2,FALSE)</f>
        <v>29.600000381469727</v>
      </c>
      <c r="L49" s="7">
        <f t="shared" si="6"/>
        <v>29</v>
      </c>
      <c r="M49" s="7">
        <f t="shared" si="7"/>
        <v>31</v>
      </c>
      <c r="N49" s="7">
        <f>VLOOKUP("l" &amp; N$3 &amp; TEXT(DataLog[[#This Row],[Time]],"yyyymmddhhmmss"),DataTable!$A:$B,2,FALSE)</f>
        <v>24.799999237060547</v>
      </c>
      <c r="O49" s="7">
        <f t="shared" si="8"/>
        <v>24</v>
      </c>
      <c r="P49" s="7">
        <f t="shared" si="9"/>
        <v>26</v>
      </c>
      <c r="Q49" s="7">
        <f>VLOOKUP("l" &amp; Q$3 &amp; TEXT(DataLog[[#This Row],[Time]],"yyyymmddhhmmss"),DataTable!$A:$B,2,FALSE)</f>
        <v>37.099998474121094</v>
      </c>
      <c r="R49" s="7">
        <f t="shared" si="10"/>
        <v>36</v>
      </c>
      <c r="S49" s="7">
        <f t="shared" si="11"/>
        <v>38</v>
      </c>
      <c r="T49" s="7">
        <f>VLOOKUP("l" &amp; T$3 &amp; TEXT(DataLog[[#This Row],[Time]],"yyyymmddhhmmss"),DataTable!$A:$B,2,FALSE)</f>
        <v>30.399999618530273</v>
      </c>
      <c r="U49" s="7">
        <f t="shared" si="12"/>
        <v>29</v>
      </c>
      <c r="V49" s="7">
        <f t="shared" si="13"/>
        <v>31</v>
      </c>
    </row>
    <row r="50" spans="1:22" x14ac:dyDescent="0.25">
      <c r="A50" s="4">
        <f t="shared" si="14"/>
        <v>44686.718749999891</v>
      </c>
      <c r="B50" s="7">
        <f>VLOOKUP("l" &amp; B$3 &amp; TEXT(DataLog[[#This Row],[Time]],"yyyymmddhhmmss"),DataTable!$A:$B,2,FALSE)</f>
        <v>37.299999237060547</v>
      </c>
      <c r="C50" s="7">
        <f t="shared" si="0"/>
        <v>36</v>
      </c>
      <c r="D50" s="7">
        <f t="shared" si="15"/>
        <v>38</v>
      </c>
      <c r="E50" s="7">
        <f>VLOOKUP("l" &amp; E$3 &amp; TEXT(DataLog[[#This Row],[Time]],"yyyymmddhhmmss"),DataTable!$A:$B,2,FALSE)</f>
        <v>36.400001525878906</v>
      </c>
      <c r="F50" s="7">
        <f t="shared" si="2"/>
        <v>35</v>
      </c>
      <c r="G50" s="7">
        <f t="shared" si="16"/>
        <v>37</v>
      </c>
      <c r="H50" s="7">
        <f>VLOOKUP("l" &amp; H$3 &amp; TEXT(DataLog[[#This Row],[Time]],"yyyymmddhhmmss"),DataTable!$A:$B,2,FALSE)</f>
        <v>34.599998474121094</v>
      </c>
      <c r="I50" s="7">
        <f t="shared" si="4"/>
        <v>34</v>
      </c>
      <c r="J50" s="7">
        <f t="shared" si="5"/>
        <v>36</v>
      </c>
      <c r="K50" s="7">
        <f>VLOOKUP("l" &amp; K$3 &amp; TEXT(DataLog[[#This Row],[Time]],"yyyymmddhhmmss"),DataTable!$A:$B,2,FALSE)</f>
        <v>29.799999237060547</v>
      </c>
      <c r="L50" s="7">
        <f t="shared" si="6"/>
        <v>29</v>
      </c>
      <c r="M50" s="7">
        <f t="shared" si="7"/>
        <v>31</v>
      </c>
      <c r="N50" s="7">
        <f>VLOOKUP("l" &amp; N$3 &amp; TEXT(DataLog[[#This Row],[Time]],"yyyymmddhhmmss"),DataTable!$A:$B,2,FALSE)</f>
        <v>25</v>
      </c>
      <c r="O50" s="7">
        <f t="shared" si="8"/>
        <v>24</v>
      </c>
      <c r="P50" s="7">
        <f t="shared" si="9"/>
        <v>26</v>
      </c>
      <c r="Q50" s="7">
        <f>VLOOKUP("l" &amp; Q$3 &amp; TEXT(DataLog[[#This Row],[Time]],"yyyymmddhhmmss"),DataTable!$A:$B,2,FALSE)</f>
        <v>36.900001525878906</v>
      </c>
      <c r="R50" s="7">
        <f t="shared" si="10"/>
        <v>36</v>
      </c>
      <c r="S50" s="7">
        <f t="shared" si="11"/>
        <v>38</v>
      </c>
      <c r="T50" s="7">
        <f>VLOOKUP("l" &amp; T$3 &amp; TEXT(DataLog[[#This Row],[Time]],"yyyymmddhhmmss"),DataTable!$A:$B,2,FALSE)</f>
        <v>30.399999618530273</v>
      </c>
      <c r="U50" s="7">
        <f t="shared" si="12"/>
        <v>29</v>
      </c>
      <c r="V50" s="7">
        <f t="shared" si="13"/>
        <v>31</v>
      </c>
    </row>
    <row r="51" spans="1:22" x14ac:dyDescent="0.25">
      <c r="A51" s="4">
        <f t="shared" si="14"/>
        <v>44686.729166666555</v>
      </c>
      <c r="B51" s="7">
        <f>VLOOKUP("l" &amp; B$3 &amp; TEXT(DataLog[[#This Row],[Time]],"yyyymmddhhmmss"),DataTable!$A:$B,2,FALSE)</f>
        <v>37.5</v>
      </c>
      <c r="C51" s="7">
        <f t="shared" si="0"/>
        <v>36</v>
      </c>
      <c r="D51" s="7">
        <f t="shared" si="15"/>
        <v>38</v>
      </c>
      <c r="E51" s="7">
        <f>VLOOKUP("l" &amp; E$3 &amp; TEXT(DataLog[[#This Row],[Time]],"yyyymmddhhmmss"),DataTable!$A:$B,2,FALSE)</f>
        <v>36.200000762939453</v>
      </c>
      <c r="F51" s="7">
        <f t="shared" si="2"/>
        <v>35</v>
      </c>
      <c r="G51" s="7">
        <f t="shared" si="16"/>
        <v>37</v>
      </c>
      <c r="H51" s="7">
        <f>VLOOKUP("l" &amp; H$3 &amp; TEXT(DataLog[[#This Row],[Time]],"yyyymmddhhmmss"),DataTable!$A:$B,2,FALSE)</f>
        <v>35</v>
      </c>
      <c r="I51" s="7">
        <f t="shared" si="4"/>
        <v>34</v>
      </c>
      <c r="J51" s="7">
        <f t="shared" si="5"/>
        <v>36</v>
      </c>
      <c r="K51" s="7">
        <f>VLOOKUP("l" &amp; K$3 &amp; TEXT(DataLog[[#This Row],[Time]],"yyyymmddhhmmss"),DataTable!$A:$B,2,FALSE)</f>
        <v>29.600000381469727</v>
      </c>
      <c r="L51" s="7">
        <f t="shared" si="6"/>
        <v>29</v>
      </c>
      <c r="M51" s="7">
        <f t="shared" si="7"/>
        <v>31</v>
      </c>
      <c r="N51" s="7">
        <f>VLOOKUP("l" &amp; N$3 &amp; TEXT(DataLog[[#This Row],[Time]],"yyyymmddhhmmss"),DataTable!$A:$B,2,FALSE)</f>
        <v>25</v>
      </c>
      <c r="O51" s="7">
        <f t="shared" si="8"/>
        <v>24</v>
      </c>
      <c r="P51" s="7">
        <f t="shared" si="9"/>
        <v>26</v>
      </c>
      <c r="Q51" s="7">
        <f>VLOOKUP("l" &amp; Q$3 &amp; TEXT(DataLog[[#This Row],[Time]],"yyyymmddhhmmss"),DataTable!$A:$B,2,FALSE)</f>
        <v>36.900001525878906</v>
      </c>
      <c r="R51" s="7">
        <f t="shared" si="10"/>
        <v>36</v>
      </c>
      <c r="S51" s="7">
        <f t="shared" si="11"/>
        <v>38</v>
      </c>
      <c r="T51" s="7">
        <f>VLOOKUP("l" &amp; T$3 &amp; TEXT(DataLog[[#This Row],[Time]],"yyyymmddhhmmss"),DataTable!$A:$B,2,FALSE)</f>
        <v>30</v>
      </c>
      <c r="U51" s="7">
        <f t="shared" si="12"/>
        <v>29</v>
      </c>
      <c r="V51" s="7">
        <f t="shared" si="13"/>
        <v>31</v>
      </c>
    </row>
    <row r="52" spans="1:22" x14ac:dyDescent="0.25">
      <c r="A52" s="4">
        <f t="shared" si="14"/>
        <v>44686.739583333219</v>
      </c>
      <c r="B52" s="7">
        <f>VLOOKUP("l" &amp; B$3 &amp; TEXT(DataLog[[#This Row],[Time]],"yyyymmddhhmmss"),DataTable!$A:$B,2,FALSE)</f>
        <v>37.099998474121094</v>
      </c>
      <c r="C52" s="7">
        <f t="shared" si="0"/>
        <v>36</v>
      </c>
      <c r="D52" s="7">
        <f t="shared" si="15"/>
        <v>38</v>
      </c>
      <c r="E52" s="7">
        <f>VLOOKUP("l" &amp; E$3 &amp; TEXT(DataLog[[#This Row],[Time]],"yyyymmddhhmmss"),DataTable!$A:$B,2,FALSE)</f>
        <v>35.599998474121094</v>
      </c>
      <c r="F52" s="7">
        <f t="shared" si="2"/>
        <v>35</v>
      </c>
      <c r="G52" s="7">
        <f t="shared" si="16"/>
        <v>37</v>
      </c>
      <c r="H52" s="7">
        <f>VLOOKUP("l" &amp; H$3 &amp; TEXT(DataLog[[#This Row],[Time]],"yyyymmddhhmmss"),DataTable!$A:$B,2,FALSE)</f>
        <v>35.599998474121094</v>
      </c>
      <c r="I52" s="7">
        <f t="shared" si="4"/>
        <v>34</v>
      </c>
      <c r="J52" s="7">
        <f t="shared" si="5"/>
        <v>36</v>
      </c>
      <c r="K52" s="7">
        <f>VLOOKUP("l" &amp; K$3 &amp; TEXT(DataLog[[#This Row],[Time]],"yyyymmddhhmmss"),DataTable!$A:$B,2,FALSE)</f>
        <v>29.600000381469727</v>
      </c>
      <c r="L52" s="7">
        <f t="shared" si="6"/>
        <v>29</v>
      </c>
      <c r="M52" s="7">
        <f t="shared" si="7"/>
        <v>31</v>
      </c>
      <c r="N52" s="7">
        <f>VLOOKUP("l" &amp; N$3 &amp; TEXT(DataLog[[#This Row],[Time]],"yyyymmddhhmmss"),DataTable!$A:$B,2,FALSE)</f>
        <v>25</v>
      </c>
      <c r="O52" s="7">
        <f t="shared" si="8"/>
        <v>24</v>
      </c>
      <c r="P52" s="7">
        <f t="shared" si="9"/>
        <v>26</v>
      </c>
      <c r="Q52" s="7">
        <f>VLOOKUP("l" &amp; Q$3 &amp; TEXT(DataLog[[#This Row],[Time]],"yyyymmddhhmmss"),DataTable!$A:$B,2,FALSE)</f>
        <v>36.900001525878906</v>
      </c>
      <c r="R52" s="7">
        <f t="shared" si="10"/>
        <v>36</v>
      </c>
      <c r="S52" s="7">
        <f t="shared" si="11"/>
        <v>38</v>
      </c>
      <c r="T52" s="7">
        <f>VLOOKUP("l" &amp; T$3 &amp; TEXT(DataLog[[#This Row],[Time]],"yyyymmddhhmmss"),DataTable!$A:$B,2,FALSE)</f>
        <v>29.799999237060547</v>
      </c>
      <c r="U52" s="7">
        <f t="shared" si="12"/>
        <v>29</v>
      </c>
      <c r="V52" s="7">
        <f t="shared" si="13"/>
        <v>31</v>
      </c>
    </row>
    <row r="53" spans="1:22" x14ac:dyDescent="0.25">
      <c r="A53" s="4">
        <f t="shared" si="14"/>
        <v>44686.749999999884</v>
      </c>
      <c r="B53" s="7">
        <f>VLOOKUP("l" &amp; B$3 &amp; TEXT(DataLog[[#This Row],[Time]],"yyyymmddhhmmss"),DataTable!$A:$B,2,FALSE)</f>
        <v>37.700000762939453</v>
      </c>
      <c r="C53" s="7">
        <f t="shared" si="0"/>
        <v>36</v>
      </c>
      <c r="D53" s="7">
        <f t="shared" si="15"/>
        <v>38</v>
      </c>
      <c r="E53" s="7">
        <f>VLOOKUP("l" &amp; E$3 &amp; TEXT(DataLog[[#This Row],[Time]],"yyyymmddhhmmss"),DataTable!$A:$B,2,FALSE)</f>
        <v>36.200000762939453</v>
      </c>
      <c r="F53" s="7">
        <f t="shared" si="2"/>
        <v>35</v>
      </c>
      <c r="G53" s="7">
        <f t="shared" si="16"/>
        <v>37</v>
      </c>
      <c r="H53" s="7">
        <f>VLOOKUP("l" &amp; H$3 &amp; TEXT(DataLog[[#This Row],[Time]],"yyyymmddhhmmss"),DataTable!$A:$B,2,FALSE)</f>
        <v>35.599998474121094</v>
      </c>
      <c r="I53" s="7">
        <f t="shared" si="4"/>
        <v>34</v>
      </c>
      <c r="J53" s="7">
        <f t="shared" si="5"/>
        <v>36</v>
      </c>
      <c r="K53" s="7">
        <f>VLOOKUP("l" &amp; K$3 &amp; TEXT(DataLog[[#This Row],[Time]],"yyyymmddhhmmss"),DataTable!$A:$B,2,FALSE)</f>
        <v>29.600000381469727</v>
      </c>
      <c r="L53" s="7">
        <f t="shared" si="6"/>
        <v>29</v>
      </c>
      <c r="M53" s="7">
        <f t="shared" si="7"/>
        <v>31</v>
      </c>
      <c r="N53" s="7">
        <f>VLOOKUP("l" &amp; N$3 &amp; TEXT(DataLog[[#This Row],[Time]],"yyyymmddhhmmss"),DataTable!$A:$B,2,FALSE)</f>
        <v>25</v>
      </c>
      <c r="O53" s="7">
        <f t="shared" si="8"/>
        <v>24</v>
      </c>
      <c r="P53" s="7">
        <f t="shared" si="9"/>
        <v>26</v>
      </c>
      <c r="Q53" s="7">
        <f>VLOOKUP("l" &amp; Q$3 &amp; TEXT(DataLog[[#This Row],[Time]],"yyyymmddhhmmss"),DataTable!$A:$B,2,FALSE)</f>
        <v>36.900001525878906</v>
      </c>
      <c r="R53" s="7">
        <f t="shared" si="10"/>
        <v>36</v>
      </c>
      <c r="S53" s="7">
        <f t="shared" si="11"/>
        <v>38</v>
      </c>
      <c r="T53" s="7">
        <f>VLOOKUP("l" &amp; T$3 &amp; TEXT(DataLog[[#This Row],[Time]],"yyyymmddhhmmss"),DataTable!$A:$B,2,FALSE)</f>
        <v>30</v>
      </c>
      <c r="U53" s="7">
        <f t="shared" si="12"/>
        <v>29</v>
      </c>
      <c r="V53" s="7">
        <f t="shared" si="13"/>
        <v>31</v>
      </c>
    </row>
    <row r="54" spans="1:22" x14ac:dyDescent="0.25">
      <c r="A54" s="4">
        <f t="shared" si="14"/>
        <v>44686.760416666548</v>
      </c>
      <c r="B54" s="7">
        <f>VLOOKUP("l" &amp; B$3 &amp; TEXT(DataLog[[#This Row],[Time]],"yyyymmddhhmmss"),DataTable!$A:$B,2,FALSE)</f>
        <v>37.299999237060547</v>
      </c>
      <c r="C54" s="7">
        <f t="shared" si="0"/>
        <v>36</v>
      </c>
      <c r="D54" s="7">
        <f t="shared" si="15"/>
        <v>38</v>
      </c>
      <c r="E54" s="7">
        <f>VLOOKUP("l" &amp; E$3 &amp; TEXT(DataLog[[#This Row],[Time]],"yyyymmddhhmmss"),DataTable!$A:$B,2,FALSE)</f>
        <v>36.200000762939453</v>
      </c>
      <c r="F54" s="7">
        <f t="shared" si="2"/>
        <v>35</v>
      </c>
      <c r="G54" s="7">
        <f t="shared" si="16"/>
        <v>37</v>
      </c>
      <c r="H54" s="7">
        <f>VLOOKUP("l" &amp; H$3 &amp; TEXT(DataLog[[#This Row],[Time]],"yyyymmddhhmmss"),DataTable!$A:$B,2,FALSE)</f>
        <v>35</v>
      </c>
      <c r="I54" s="7">
        <f t="shared" si="4"/>
        <v>34</v>
      </c>
      <c r="J54" s="7">
        <f t="shared" si="5"/>
        <v>36</v>
      </c>
      <c r="K54" s="7">
        <f>VLOOKUP("l" &amp; K$3 &amp; TEXT(DataLog[[#This Row],[Time]],"yyyymmddhhmmss"),DataTable!$A:$B,2,FALSE)</f>
        <v>29.600000381469727</v>
      </c>
      <c r="L54" s="7">
        <f t="shared" si="6"/>
        <v>29</v>
      </c>
      <c r="M54" s="7">
        <f t="shared" si="7"/>
        <v>31</v>
      </c>
      <c r="N54" s="7">
        <f>VLOOKUP("l" &amp; N$3 &amp; TEXT(DataLog[[#This Row],[Time]],"yyyymmddhhmmss"),DataTable!$A:$B,2,FALSE)</f>
        <v>24.799999237060547</v>
      </c>
      <c r="O54" s="7">
        <f t="shared" si="8"/>
        <v>24</v>
      </c>
      <c r="P54" s="7">
        <f t="shared" si="9"/>
        <v>26</v>
      </c>
      <c r="Q54" s="7">
        <f>VLOOKUP("l" &amp; Q$3 &amp; TEXT(DataLog[[#This Row],[Time]],"yyyymmddhhmmss"),DataTable!$A:$B,2,FALSE)</f>
        <v>37.099998474121094</v>
      </c>
      <c r="R54" s="7">
        <f t="shared" si="10"/>
        <v>36</v>
      </c>
      <c r="S54" s="7">
        <f t="shared" si="11"/>
        <v>38</v>
      </c>
      <c r="T54" s="7">
        <f>VLOOKUP("l" &amp; T$3 &amp; TEXT(DataLog[[#This Row],[Time]],"yyyymmddhhmmss"),DataTable!$A:$B,2,FALSE)</f>
        <v>30.200000762939453</v>
      </c>
      <c r="U54" s="7">
        <f t="shared" si="12"/>
        <v>29</v>
      </c>
      <c r="V54" s="7">
        <f t="shared" si="13"/>
        <v>31</v>
      </c>
    </row>
    <row r="55" spans="1:22" x14ac:dyDescent="0.25">
      <c r="A55" s="4">
        <f t="shared" si="14"/>
        <v>44686.770833333212</v>
      </c>
      <c r="B55" s="7">
        <f>VLOOKUP("l" &amp; B$3 &amp; TEXT(DataLog[[#This Row],[Time]],"yyyymmddhhmmss"),DataTable!$A:$B,2,FALSE)</f>
        <v>37.700000762939453</v>
      </c>
      <c r="C55" s="7">
        <f t="shared" si="0"/>
        <v>36</v>
      </c>
      <c r="D55" s="7">
        <f t="shared" si="15"/>
        <v>38</v>
      </c>
      <c r="E55" s="7">
        <f>VLOOKUP("l" &amp; E$3 &amp; TEXT(DataLog[[#This Row],[Time]],"yyyymmddhhmmss"),DataTable!$A:$B,2,FALSE)</f>
        <v>35.799999237060547</v>
      </c>
      <c r="F55" s="7">
        <f t="shared" si="2"/>
        <v>35</v>
      </c>
      <c r="G55" s="7">
        <f t="shared" si="16"/>
        <v>37</v>
      </c>
      <c r="H55" s="7">
        <f>VLOOKUP("l" &amp; H$3 &amp; TEXT(DataLog[[#This Row],[Time]],"yyyymmddhhmmss"),DataTable!$A:$B,2,FALSE)</f>
        <v>34.799999237060547</v>
      </c>
      <c r="I55" s="7">
        <f t="shared" si="4"/>
        <v>34</v>
      </c>
      <c r="J55" s="7">
        <f t="shared" si="5"/>
        <v>36</v>
      </c>
      <c r="K55" s="7">
        <f>VLOOKUP("l" &amp; K$3 &amp; TEXT(DataLog[[#This Row],[Time]],"yyyymmddhhmmss"),DataTable!$A:$B,2,FALSE)</f>
        <v>29.600000381469727</v>
      </c>
      <c r="L55" s="7">
        <f t="shared" si="6"/>
        <v>29</v>
      </c>
      <c r="M55" s="7">
        <f t="shared" si="7"/>
        <v>31</v>
      </c>
      <c r="N55" s="7">
        <f>VLOOKUP("l" &amp; N$3 &amp; TEXT(DataLog[[#This Row],[Time]],"yyyymmddhhmmss"),DataTable!$A:$B,2,FALSE)</f>
        <v>24.600000381469727</v>
      </c>
      <c r="O55" s="7">
        <f t="shared" si="8"/>
        <v>24</v>
      </c>
      <c r="P55" s="7">
        <f t="shared" si="9"/>
        <v>26</v>
      </c>
      <c r="Q55" s="7">
        <f>VLOOKUP("l" &amp; Q$3 &amp; TEXT(DataLog[[#This Row],[Time]],"yyyymmddhhmmss"),DataTable!$A:$B,2,FALSE)</f>
        <v>36.900001525878906</v>
      </c>
      <c r="R55" s="7">
        <f t="shared" si="10"/>
        <v>36</v>
      </c>
      <c r="S55" s="7">
        <f t="shared" si="11"/>
        <v>38</v>
      </c>
      <c r="T55" s="7">
        <f>VLOOKUP("l" &amp; T$3 &amp; TEXT(DataLog[[#This Row],[Time]],"yyyymmddhhmmss"),DataTable!$A:$B,2,FALSE)</f>
        <v>30.200000762939453</v>
      </c>
      <c r="U55" s="7">
        <f t="shared" si="12"/>
        <v>29</v>
      </c>
      <c r="V55" s="7">
        <f t="shared" si="13"/>
        <v>31</v>
      </c>
    </row>
    <row r="56" spans="1:22" x14ac:dyDescent="0.25">
      <c r="A56" s="4">
        <f t="shared" si="14"/>
        <v>44686.781249999876</v>
      </c>
      <c r="B56" s="7">
        <f>VLOOKUP("l" &amp; B$3 &amp; TEXT(DataLog[[#This Row],[Time]],"yyyymmddhhmmss"),DataTable!$A:$B,2,FALSE)</f>
        <v>37.099998474121094</v>
      </c>
      <c r="C56" s="7">
        <f t="shared" si="0"/>
        <v>36</v>
      </c>
      <c r="D56" s="7">
        <f t="shared" si="15"/>
        <v>38</v>
      </c>
      <c r="E56" s="7">
        <f>VLOOKUP("l" &amp; E$3 &amp; TEXT(DataLog[[#This Row],[Time]],"yyyymmddhhmmss"),DataTable!$A:$B,2,FALSE)</f>
        <v>36</v>
      </c>
      <c r="F56" s="7">
        <f t="shared" si="2"/>
        <v>35</v>
      </c>
      <c r="G56" s="7">
        <f t="shared" si="16"/>
        <v>37</v>
      </c>
      <c r="H56" s="7">
        <f>VLOOKUP("l" &amp; H$3 &amp; TEXT(DataLog[[#This Row],[Time]],"yyyymmddhhmmss"),DataTable!$A:$B,2,FALSE)</f>
        <v>35.400001525878906</v>
      </c>
      <c r="I56" s="7">
        <f t="shared" si="4"/>
        <v>34</v>
      </c>
      <c r="J56" s="7">
        <f t="shared" si="5"/>
        <v>36</v>
      </c>
      <c r="K56" s="7">
        <f>VLOOKUP("l" &amp; K$3 &amp; TEXT(DataLog[[#This Row],[Time]],"yyyymmddhhmmss"),DataTable!$A:$B,2,FALSE)</f>
        <v>29.600000381469727</v>
      </c>
      <c r="L56" s="7">
        <f t="shared" si="6"/>
        <v>29</v>
      </c>
      <c r="M56" s="7">
        <f t="shared" si="7"/>
        <v>31</v>
      </c>
      <c r="N56" s="7">
        <f>VLOOKUP("l" &amp; N$3 &amp; TEXT(DataLog[[#This Row],[Time]],"yyyymmddhhmmss"),DataTable!$A:$B,2,FALSE)</f>
        <v>24.399999618530273</v>
      </c>
      <c r="O56" s="7">
        <f t="shared" si="8"/>
        <v>24</v>
      </c>
      <c r="P56" s="7">
        <f t="shared" si="9"/>
        <v>26</v>
      </c>
      <c r="Q56" s="7">
        <f>VLOOKUP("l" &amp; Q$3 &amp; TEXT(DataLog[[#This Row],[Time]],"yyyymmddhhmmss"),DataTable!$A:$B,2,FALSE)</f>
        <v>36.900001525878906</v>
      </c>
      <c r="R56" s="7">
        <f t="shared" si="10"/>
        <v>36</v>
      </c>
      <c r="S56" s="7">
        <f t="shared" si="11"/>
        <v>38</v>
      </c>
      <c r="T56" s="7">
        <f>VLOOKUP("l" &amp; T$3 &amp; TEXT(DataLog[[#This Row],[Time]],"yyyymmddhhmmss"),DataTable!$A:$B,2,FALSE)</f>
        <v>30</v>
      </c>
      <c r="U56" s="7">
        <f t="shared" si="12"/>
        <v>29</v>
      </c>
      <c r="V56" s="7">
        <f t="shared" si="13"/>
        <v>31</v>
      </c>
    </row>
    <row r="57" spans="1:22" x14ac:dyDescent="0.25">
      <c r="A57" s="4">
        <f t="shared" si="14"/>
        <v>44686.791666666541</v>
      </c>
      <c r="B57" s="7">
        <f>VLOOKUP("l" &amp; B$3 &amp; TEXT(DataLog[[#This Row],[Time]],"yyyymmddhhmmss"),DataTable!$A:$B,2,FALSE)</f>
        <v>37.700000762939453</v>
      </c>
      <c r="C57" s="7">
        <f t="shared" si="0"/>
        <v>36</v>
      </c>
      <c r="D57" s="7">
        <f t="shared" si="15"/>
        <v>38</v>
      </c>
      <c r="E57" s="7">
        <f>VLOOKUP("l" &amp; E$3 &amp; TEXT(DataLog[[#This Row],[Time]],"yyyymmddhhmmss"),DataTable!$A:$B,2,FALSE)</f>
        <v>36.400001525878906</v>
      </c>
      <c r="F57" s="7">
        <f t="shared" si="2"/>
        <v>35</v>
      </c>
      <c r="G57" s="7">
        <f t="shared" si="16"/>
        <v>37</v>
      </c>
      <c r="H57" s="7">
        <f>VLOOKUP("l" &amp; H$3 &amp; TEXT(DataLog[[#This Row],[Time]],"yyyymmddhhmmss"),DataTable!$A:$B,2,FALSE)</f>
        <v>35.599998474121094</v>
      </c>
      <c r="I57" s="7">
        <f t="shared" si="4"/>
        <v>34</v>
      </c>
      <c r="J57" s="7">
        <f t="shared" si="5"/>
        <v>36</v>
      </c>
      <c r="K57" s="7">
        <f>VLOOKUP("l" &amp; K$3 &amp; TEXT(DataLog[[#This Row],[Time]],"yyyymmddhhmmss"),DataTable!$A:$B,2,FALSE)</f>
        <v>29.799999237060547</v>
      </c>
      <c r="L57" s="7">
        <f t="shared" si="6"/>
        <v>29</v>
      </c>
      <c r="M57" s="7">
        <f t="shared" si="7"/>
        <v>31</v>
      </c>
      <c r="N57" s="7">
        <f>VLOOKUP("l" &amp; N$3 &amp; TEXT(DataLog[[#This Row],[Time]],"yyyymmddhhmmss"),DataTable!$A:$B,2,FALSE)</f>
        <v>24.799999237060547</v>
      </c>
      <c r="O57" s="7">
        <f t="shared" si="8"/>
        <v>24</v>
      </c>
      <c r="P57" s="7">
        <f t="shared" si="9"/>
        <v>26</v>
      </c>
      <c r="Q57" s="7">
        <f>VLOOKUP("l" &amp; Q$3 &amp; TEXT(DataLog[[#This Row],[Time]],"yyyymmddhhmmss"),DataTable!$A:$B,2,FALSE)</f>
        <v>37.099998474121094</v>
      </c>
      <c r="R57" s="7">
        <f t="shared" si="10"/>
        <v>36</v>
      </c>
      <c r="S57" s="7">
        <f t="shared" si="11"/>
        <v>38</v>
      </c>
      <c r="T57" s="7">
        <f>VLOOKUP("l" &amp; T$3 &amp; TEXT(DataLog[[#This Row],[Time]],"yyyymmddhhmmss"),DataTable!$A:$B,2,FALSE)</f>
        <v>29.799999237060547</v>
      </c>
      <c r="U57" s="7">
        <f t="shared" si="12"/>
        <v>29</v>
      </c>
      <c r="V57" s="7">
        <f t="shared" si="13"/>
        <v>31</v>
      </c>
    </row>
    <row r="58" spans="1:22" x14ac:dyDescent="0.25">
      <c r="A58" s="4">
        <f t="shared" si="14"/>
        <v>44686.802083333205</v>
      </c>
      <c r="B58" s="7">
        <f>VLOOKUP("l" &amp; B$3 &amp; TEXT(DataLog[[#This Row],[Time]],"yyyymmddhhmmss"),DataTable!$A:$B,2,FALSE)</f>
        <v>37.099998474121094</v>
      </c>
      <c r="C58" s="7">
        <f t="shared" si="0"/>
        <v>36</v>
      </c>
      <c r="D58" s="7">
        <f t="shared" si="15"/>
        <v>38</v>
      </c>
      <c r="E58" s="7">
        <f>VLOOKUP("l" &amp; E$3 &amp; TEXT(DataLog[[#This Row],[Time]],"yyyymmddhhmmss"),DataTable!$A:$B,2,FALSE)</f>
        <v>35.599998474121094</v>
      </c>
      <c r="F58" s="7">
        <f t="shared" si="2"/>
        <v>35</v>
      </c>
      <c r="G58" s="7">
        <f t="shared" si="16"/>
        <v>37</v>
      </c>
      <c r="H58" s="7">
        <f>VLOOKUP("l" &amp; H$3 &amp; TEXT(DataLog[[#This Row],[Time]],"yyyymmddhhmmss"),DataTable!$A:$B,2,FALSE)</f>
        <v>35.200000762939453</v>
      </c>
      <c r="I58" s="7">
        <f t="shared" si="4"/>
        <v>34</v>
      </c>
      <c r="J58" s="7">
        <f t="shared" si="5"/>
        <v>36</v>
      </c>
      <c r="K58" s="7">
        <f>VLOOKUP("l" &amp; K$3 &amp; TEXT(DataLog[[#This Row],[Time]],"yyyymmddhhmmss"),DataTable!$A:$B,2,FALSE)</f>
        <v>29.600000381469727</v>
      </c>
      <c r="L58" s="7">
        <f t="shared" si="6"/>
        <v>29</v>
      </c>
      <c r="M58" s="7">
        <f t="shared" si="7"/>
        <v>31</v>
      </c>
      <c r="N58" s="7">
        <f>VLOOKUP("l" &amp; N$3 &amp; TEXT(DataLog[[#This Row],[Time]],"yyyymmddhhmmss"),DataTable!$A:$B,2,FALSE)</f>
        <v>24.799999237060547</v>
      </c>
      <c r="O58" s="7">
        <f t="shared" si="8"/>
        <v>24</v>
      </c>
      <c r="P58" s="7">
        <f t="shared" si="9"/>
        <v>26</v>
      </c>
      <c r="Q58" s="7">
        <f>VLOOKUP("l" &amp; Q$3 &amp; TEXT(DataLog[[#This Row],[Time]],"yyyymmddhhmmss"),DataTable!$A:$B,2,FALSE)</f>
        <v>36.700000762939453</v>
      </c>
      <c r="R58" s="7">
        <f t="shared" si="10"/>
        <v>36</v>
      </c>
      <c r="S58" s="7">
        <f t="shared" si="11"/>
        <v>38</v>
      </c>
      <c r="T58" s="7">
        <f>VLOOKUP("l" &amp; T$3 &amp; TEXT(DataLog[[#This Row],[Time]],"yyyymmddhhmmss"),DataTable!$A:$B,2,FALSE)</f>
        <v>30.200000762939453</v>
      </c>
      <c r="U58" s="7">
        <f t="shared" si="12"/>
        <v>29</v>
      </c>
      <c r="V58" s="7">
        <f t="shared" si="13"/>
        <v>31</v>
      </c>
    </row>
    <row r="59" spans="1:22" x14ac:dyDescent="0.25">
      <c r="A59" s="4">
        <f t="shared" si="14"/>
        <v>44686.812499999869</v>
      </c>
      <c r="B59" s="7">
        <f>VLOOKUP("l" &amp; B$3 &amp; TEXT(DataLog[[#This Row],[Time]],"yyyymmddhhmmss"),DataTable!$A:$B,2,FALSE)</f>
        <v>36.900001525878906</v>
      </c>
      <c r="C59" s="7">
        <f t="shared" si="0"/>
        <v>36</v>
      </c>
      <c r="D59" s="7">
        <f t="shared" si="15"/>
        <v>38</v>
      </c>
      <c r="E59" s="7">
        <f>VLOOKUP("l" &amp; E$3 &amp; TEXT(DataLog[[#This Row],[Time]],"yyyymmddhhmmss"),DataTable!$A:$B,2,FALSE)</f>
        <v>35.799999237060547</v>
      </c>
      <c r="F59" s="7">
        <f t="shared" si="2"/>
        <v>35</v>
      </c>
      <c r="G59" s="7">
        <f t="shared" si="16"/>
        <v>37</v>
      </c>
      <c r="H59" s="7">
        <f>VLOOKUP("l" &amp; H$3 &amp; TEXT(DataLog[[#This Row],[Time]],"yyyymmddhhmmss"),DataTable!$A:$B,2,FALSE)</f>
        <v>34.599998474121094</v>
      </c>
      <c r="I59" s="7">
        <f t="shared" si="4"/>
        <v>34</v>
      </c>
      <c r="J59" s="7">
        <f t="shared" si="5"/>
        <v>36</v>
      </c>
      <c r="K59" s="7">
        <f>VLOOKUP("l" &amp; K$3 &amp; TEXT(DataLog[[#This Row],[Time]],"yyyymmddhhmmss"),DataTable!$A:$B,2,FALSE)</f>
        <v>29.600000381469727</v>
      </c>
      <c r="L59" s="7">
        <f t="shared" si="6"/>
        <v>29</v>
      </c>
      <c r="M59" s="7">
        <f t="shared" si="7"/>
        <v>31</v>
      </c>
      <c r="N59" s="7">
        <f>VLOOKUP("l" &amp; N$3 &amp; TEXT(DataLog[[#This Row],[Time]],"yyyymmddhhmmss"),DataTable!$A:$B,2,FALSE)</f>
        <v>24.799999237060547</v>
      </c>
      <c r="O59" s="7">
        <f t="shared" si="8"/>
        <v>24</v>
      </c>
      <c r="P59" s="7">
        <f t="shared" si="9"/>
        <v>26</v>
      </c>
      <c r="Q59" s="7">
        <f>VLOOKUP("l" &amp; Q$3 &amp; TEXT(DataLog[[#This Row],[Time]],"yyyymmddhhmmss"),DataTable!$A:$B,2,FALSE)</f>
        <v>36.900001525878906</v>
      </c>
      <c r="R59" s="7">
        <f t="shared" si="10"/>
        <v>36</v>
      </c>
      <c r="S59" s="7">
        <f t="shared" si="11"/>
        <v>38</v>
      </c>
      <c r="T59" s="7">
        <f>VLOOKUP("l" &amp; T$3 &amp; TEXT(DataLog[[#This Row],[Time]],"yyyymmddhhmmss"),DataTable!$A:$B,2,FALSE)</f>
        <v>30.399999618530273</v>
      </c>
      <c r="U59" s="7">
        <f t="shared" si="12"/>
        <v>29</v>
      </c>
      <c r="V59" s="7">
        <f t="shared" si="13"/>
        <v>31</v>
      </c>
    </row>
    <row r="60" spans="1:22" x14ac:dyDescent="0.25">
      <c r="A60" s="4">
        <f t="shared" si="14"/>
        <v>44686.822916666533</v>
      </c>
      <c r="B60" s="7">
        <f>VLOOKUP("l" &amp; B$3 &amp; TEXT(DataLog[[#This Row],[Time]],"yyyymmddhhmmss"),DataTable!$A:$B,2,FALSE)</f>
        <v>37.5</v>
      </c>
      <c r="C60" s="7">
        <f t="shared" si="0"/>
        <v>36</v>
      </c>
      <c r="D60" s="7">
        <f t="shared" si="15"/>
        <v>38</v>
      </c>
      <c r="E60" s="7">
        <f>VLOOKUP("l" &amp; E$3 &amp; TEXT(DataLog[[#This Row],[Time]],"yyyymmddhhmmss"),DataTable!$A:$B,2,FALSE)</f>
        <v>36.200000762939453</v>
      </c>
      <c r="F60" s="7">
        <f t="shared" si="2"/>
        <v>35</v>
      </c>
      <c r="G60" s="7">
        <f t="shared" si="16"/>
        <v>37</v>
      </c>
      <c r="H60" s="7">
        <f>VLOOKUP("l" &amp; H$3 &amp; TEXT(DataLog[[#This Row],[Time]],"yyyymmddhhmmss"),DataTable!$A:$B,2,FALSE)</f>
        <v>34.799999237060547</v>
      </c>
      <c r="I60" s="7">
        <f t="shared" si="4"/>
        <v>34</v>
      </c>
      <c r="J60" s="7">
        <f t="shared" si="5"/>
        <v>36</v>
      </c>
      <c r="K60" s="7">
        <f>VLOOKUP("l" &amp; K$3 &amp; TEXT(DataLog[[#This Row],[Time]],"yyyymmddhhmmss"),DataTable!$A:$B,2,FALSE)</f>
        <v>29.799999237060547</v>
      </c>
      <c r="L60" s="7">
        <f t="shared" si="6"/>
        <v>29</v>
      </c>
      <c r="M60" s="7">
        <f t="shared" si="7"/>
        <v>31</v>
      </c>
      <c r="N60" s="7">
        <f>VLOOKUP("l" &amp; N$3 &amp; TEXT(DataLog[[#This Row],[Time]],"yyyymmddhhmmss"),DataTable!$A:$B,2,FALSE)</f>
        <v>24.399999618530273</v>
      </c>
      <c r="O60" s="7">
        <f t="shared" si="8"/>
        <v>24</v>
      </c>
      <c r="P60" s="7">
        <f t="shared" si="9"/>
        <v>26</v>
      </c>
      <c r="Q60" s="7">
        <f>VLOOKUP("l" &amp; Q$3 &amp; TEXT(DataLog[[#This Row],[Time]],"yyyymmddhhmmss"),DataTable!$A:$B,2,FALSE)</f>
        <v>36.900001525878906</v>
      </c>
      <c r="R60" s="7">
        <f t="shared" si="10"/>
        <v>36</v>
      </c>
      <c r="S60" s="7">
        <f t="shared" si="11"/>
        <v>38</v>
      </c>
      <c r="T60" s="7">
        <f>VLOOKUP("l" &amp; T$3 &amp; TEXT(DataLog[[#This Row],[Time]],"yyyymmddhhmmss"),DataTable!$A:$B,2,FALSE)</f>
        <v>30.399999618530273</v>
      </c>
      <c r="U60" s="7">
        <f t="shared" si="12"/>
        <v>29</v>
      </c>
      <c r="V60" s="7">
        <f t="shared" si="13"/>
        <v>31</v>
      </c>
    </row>
    <row r="61" spans="1:22" x14ac:dyDescent="0.25">
      <c r="A61" s="4">
        <f t="shared" si="14"/>
        <v>44686.833333333198</v>
      </c>
      <c r="B61" s="7">
        <f>VLOOKUP("l" &amp; B$3 &amp; TEXT(DataLog[[#This Row],[Time]],"yyyymmddhhmmss"),DataTable!$A:$B,2,FALSE)</f>
        <v>37.099998474121094</v>
      </c>
      <c r="C61" s="7">
        <f t="shared" si="0"/>
        <v>36</v>
      </c>
      <c r="D61" s="7">
        <f t="shared" si="15"/>
        <v>38</v>
      </c>
      <c r="E61" s="7">
        <f>VLOOKUP("l" &amp; E$3 &amp; TEXT(DataLog[[#This Row],[Time]],"yyyymmddhhmmss"),DataTable!$A:$B,2,FALSE)</f>
        <v>35.599998474121094</v>
      </c>
      <c r="F61" s="7">
        <f t="shared" si="2"/>
        <v>35</v>
      </c>
      <c r="G61" s="7">
        <f t="shared" si="16"/>
        <v>37</v>
      </c>
      <c r="H61" s="7">
        <f>VLOOKUP("l" &amp; H$3 &amp; TEXT(DataLog[[#This Row],[Time]],"yyyymmddhhmmss"),DataTable!$A:$B,2,FALSE)</f>
        <v>35.400001525878906</v>
      </c>
      <c r="I61" s="7">
        <f t="shared" si="4"/>
        <v>34</v>
      </c>
      <c r="J61" s="7">
        <f t="shared" si="5"/>
        <v>36</v>
      </c>
      <c r="K61" s="7">
        <f>VLOOKUP("l" &amp; K$3 &amp; TEXT(DataLog[[#This Row],[Time]],"yyyymmddhhmmss"),DataTable!$A:$B,2,FALSE)</f>
        <v>29.799999237060547</v>
      </c>
      <c r="L61" s="7">
        <f t="shared" si="6"/>
        <v>29</v>
      </c>
      <c r="M61" s="7">
        <f t="shared" si="7"/>
        <v>31</v>
      </c>
      <c r="N61" s="7">
        <f>VLOOKUP("l" &amp; N$3 &amp; TEXT(DataLog[[#This Row],[Time]],"yyyymmddhhmmss"),DataTable!$A:$B,2,FALSE)</f>
        <v>24.799999237060547</v>
      </c>
      <c r="O61" s="7">
        <f t="shared" si="8"/>
        <v>24</v>
      </c>
      <c r="P61" s="7">
        <f t="shared" si="9"/>
        <v>26</v>
      </c>
      <c r="Q61" s="7">
        <f>VLOOKUP("l" &amp; Q$3 &amp; TEXT(DataLog[[#This Row],[Time]],"yyyymmddhhmmss"),DataTable!$A:$B,2,FALSE)</f>
        <v>36.900001525878906</v>
      </c>
      <c r="R61" s="7">
        <f t="shared" si="10"/>
        <v>36</v>
      </c>
      <c r="S61" s="7">
        <f t="shared" si="11"/>
        <v>38</v>
      </c>
      <c r="T61" s="7">
        <f>VLOOKUP("l" &amp; T$3 &amp; TEXT(DataLog[[#This Row],[Time]],"yyyymmddhhmmss"),DataTable!$A:$B,2,FALSE)</f>
        <v>30.200000762939453</v>
      </c>
      <c r="U61" s="7">
        <f t="shared" si="12"/>
        <v>29</v>
      </c>
      <c r="V61" s="7">
        <f t="shared" si="13"/>
        <v>31</v>
      </c>
    </row>
    <row r="62" spans="1:22" x14ac:dyDescent="0.25">
      <c r="A62" s="4">
        <f t="shared" si="14"/>
        <v>44686.843749999862</v>
      </c>
      <c r="B62" s="7">
        <f>VLOOKUP("l" &amp; B$3 &amp; TEXT(DataLog[[#This Row],[Time]],"yyyymmddhhmmss"),DataTable!$A:$B,2,FALSE)</f>
        <v>37.5</v>
      </c>
      <c r="C62" s="7">
        <f t="shared" si="0"/>
        <v>36</v>
      </c>
      <c r="D62" s="7">
        <f t="shared" si="15"/>
        <v>38</v>
      </c>
      <c r="E62" s="7">
        <f>VLOOKUP("l" &amp; E$3 &amp; TEXT(DataLog[[#This Row],[Time]],"yyyymmddhhmmss"),DataTable!$A:$B,2,FALSE)</f>
        <v>36.400001525878906</v>
      </c>
      <c r="F62" s="7">
        <f t="shared" si="2"/>
        <v>35</v>
      </c>
      <c r="G62" s="7">
        <f t="shared" si="16"/>
        <v>37</v>
      </c>
      <c r="H62" s="7">
        <f>VLOOKUP("l" &amp; H$3 &amp; TEXT(DataLog[[#This Row],[Time]],"yyyymmddhhmmss"),DataTable!$A:$B,2,FALSE)</f>
        <v>35.400001525878906</v>
      </c>
      <c r="I62" s="7">
        <f t="shared" si="4"/>
        <v>34</v>
      </c>
      <c r="J62" s="7">
        <f t="shared" si="5"/>
        <v>36</v>
      </c>
      <c r="K62" s="7">
        <f>VLOOKUP("l" &amp; K$3 &amp; TEXT(DataLog[[#This Row],[Time]],"yyyymmddhhmmss"),DataTable!$A:$B,2,FALSE)</f>
        <v>29.600000381469727</v>
      </c>
      <c r="L62" s="7">
        <f t="shared" si="6"/>
        <v>29</v>
      </c>
      <c r="M62" s="7">
        <f t="shared" si="7"/>
        <v>31</v>
      </c>
      <c r="N62" s="7">
        <f>VLOOKUP("l" &amp; N$3 &amp; TEXT(DataLog[[#This Row],[Time]],"yyyymmddhhmmss"),DataTable!$A:$B,2,FALSE)</f>
        <v>25.200000762939453</v>
      </c>
      <c r="O62" s="7">
        <f t="shared" si="8"/>
        <v>24</v>
      </c>
      <c r="P62" s="7">
        <f t="shared" si="9"/>
        <v>26</v>
      </c>
      <c r="Q62" s="7">
        <f>VLOOKUP("l" &amp; Q$3 &amp; TEXT(DataLog[[#This Row],[Time]],"yyyymmddhhmmss"),DataTable!$A:$B,2,FALSE)</f>
        <v>36.700000762939453</v>
      </c>
      <c r="R62" s="7">
        <f t="shared" si="10"/>
        <v>36</v>
      </c>
      <c r="S62" s="7">
        <f t="shared" si="11"/>
        <v>38</v>
      </c>
      <c r="T62" s="7">
        <f>VLOOKUP("l" &amp; T$3 &amp; TEXT(DataLog[[#This Row],[Time]],"yyyymmddhhmmss"),DataTable!$A:$B,2,FALSE)</f>
        <v>30</v>
      </c>
      <c r="U62" s="7">
        <f t="shared" si="12"/>
        <v>29</v>
      </c>
      <c r="V62" s="7">
        <f t="shared" si="13"/>
        <v>31</v>
      </c>
    </row>
    <row r="63" spans="1:22" x14ac:dyDescent="0.25">
      <c r="A63" s="4">
        <f t="shared" si="14"/>
        <v>44686.854166666526</v>
      </c>
      <c r="B63" s="7">
        <f>VLOOKUP("l" &amp; B$3 &amp; TEXT(DataLog[[#This Row],[Time]],"yyyymmddhhmmss"),DataTable!$A:$B,2,FALSE)</f>
        <v>37.099998474121094</v>
      </c>
      <c r="C63" s="7">
        <f t="shared" si="0"/>
        <v>36</v>
      </c>
      <c r="D63" s="7">
        <f t="shared" si="15"/>
        <v>38</v>
      </c>
      <c r="E63" s="7">
        <f>VLOOKUP("l" &amp; E$3 &amp; TEXT(DataLog[[#This Row],[Time]],"yyyymmddhhmmss"),DataTable!$A:$B,2,FALSE)</f>
        <v>36.400001525878906</v>
      </c>
      <c r="F63" s="7">
        <f t="shared" si="2"/>
        <v>35</v>
      </c>
      <c r="G63" s="7">
        <f t="shared" si="16"/>
        <v>37</v>
      </c>
      <c r="H63" s="7">
        <f>VLOOKUP("l" &amp; H$3 &amp; TEXT(DataLog[[#This Row],[Time]],"yyyymmddhhmmss"),DataTable!$A:$B,2,FALSE)</f>
        <v>35.200000762939453</v>
      </c>
      <c r="I63" s="7">
        <f t="shared" si="4"/>
        <v>34</v>
      </c>
      <c r="J63" s="7">
        <f t="shared" si="5"/>
        <v>36</v>
      </c>
      <c r="K63" s="7">
        <f>VLOOKUP("l" &amp; K$3 &amp; TEXT(DataLog[[#This Row],[Time]],"yyyymmddhhmmss"),DataTable!$A:$B,2,FALSE)</f>
        <v>29.600000381469727</v>
      </c>
      <c r="L63" s="7">
        <f t="shared" si="6"/>
        <v>29</v>
      </c>
      <c r="M63" s="7">
        <f t="shared" si="7"/>
        <v>31</v>
      </c>
      <c r="N63" s="7">
        <f>VLOOKUP("l" &amp; N$3 &amp; TEXT(DataLog[[#This Row],[Time]],"yyyymmddhhmmss"),DataTable!$A:$B,2,FALSE)</f>
        <v>25.200000762939453</v>
      </c>
      <c r="O63" s="7">
        <f t="shared" si="8"/>
        <v>24</v>
      </c>
      <c r="P63" s="7">
        <f t="shared" si="9"/>
        <v>26</v>
      </c>
      <c r="Q63" s="7">
        <f>VLOOKUP("l" &amp; Q$3 &amp; TEXT(DataLog[[#This Row],[Time]],"yyyymmddhhmmss"),DataTable!$A:$B,2,FALSE)</f>
        <v>36.900001525878906</v>
      </c>
      <c r="R63" s="7">
        <f t="shared" si="10"/>
        <v>36</v>
      </c>
      <c r="S63" s="7">
        <f t="shared" si="11"/>
        <v>38</v>
      </c>
      <c r="T63" s="7">
        <f>VLOOKUP("l" &amp; T$3 &amp; TEXT(DataLog[[#This Row],[Time]],"yyyymmddhhmmss"),DataTable!$A:$B,2,FALSE)</f>
        <v>29.799999237060547</v>
      </c>
      <c r="U63" s="7">
        <f t="shared" si="12"/>
        <v>29</v>
      </c>
      <c r="V63" s="7">
        <f t="shared" si="13"/>
        <v>31</v>
      </c>
    </row>
    <row r="64" spans="1:22" x14ac:dyDescent="0.25">
      <c r="A64" s="4">
        <f t="shared" si="14"/>
        <v>44686.86458333319</v>
      </c>
      <c r="B64" s="7">
        <f>VLOOKUP("l" &amp; B$3 &amp; TEXT(DataLog[[#This Row],[Time]],"yyyymmddhhmmss"),DataTable!$A:$B,2,FALSE)</f>
        <v>37.5</v>
      </c>
      <c r="C64" s="7">
        <f t="shared" si="0"/>
        <v>36</v>
      </c>
      <c r="D64" s="7">
        <f t="shared" si="15"/>
        <v>38</v>
      </c>
      <c r="E64" s="7">
        <f>VLOOKUP("l" &amp; E$3 &amp; TEXT(DataLog[[#This Row],[Time]],"yyyymmddhhmmss"),DataTable!$A:$B,2,FALSE)</f>
        <v>35.799999237060547</v>
      </c>
      <c r="F64" s="7">
        <f t="shared" si="2"/>
        <v>35</v>
      </c>
      <c r="G64" s="7">
        <f t="shared" si="16"/>
        <v>37</v>
      </c>
      <c r="H64" s="7">
        <f>VLOOKUP("l" &amp; H$3 &amp; TEXT(DataLog[[#This Row],[Time]],"yyyymmddhhmmss"),DataTable!$A:$B,2,FALSE)</f>
        <v>34.799999237060547</v>
      </c>
      <c r="I64" s="7">
        <f t="shared" si="4"/>
        <v>34</v>
      </c>
      <c r="J64" s="7">
        <f t="shared" si="5"/>
        <v>36</v>
      </c>
      <c r="K64" s="7">
        <f>VLOOKUP("l" &amp; K$3 &amp; TEXT(DataLog[[#This Row],[Time]],"yyyymmddhhmmss"),DataTable!$A:$B,2,FALSE)</f>
        <v>29.799999237060547</v>
      </c>
      <c r="L64" s="7">
        <f t="shared" si="6"/>
        <v>29</v>
      </c>
      <c r="M64" s="7">
        <f t="shared" si="7"/>
        <v>31</v>
      </c>
      <c r="N64" s="7">
        <f>VLOOKUP("l" &amp; N$3 &amp; TEXT(DataLog[[#This Row],[Time]],"yyyymmddhhmmss"),DataTable!$A:$B,2,FALSE)</f>
        <v>25.200000762939453</v>
      </c>
      <c r="O64" s="7">
        <f t="shared" si="8"/>
        <v>24</v>
      </c>
      <c r="P64" s="7">
        <f t="shared" si="9"/>
        <v>26</v>
      </c>
      <c r="Q64" s="7">
        <f>VLOOKUP("l" &amp; Q$3 &amp; TEXT(DataLog[[#This Row],[Time]],"yyyymmddhhmmss"),DataTable!$A:$B,2,FALSE)</f>
        <v>37.099998474121094</v>
      </c>
      <c r="R64" s="7">
        <f t="shared" si="10"/>
        <v>36</v>
      </c>
      <c r="S64" s="7">
        <f t="shared" si="11"/>
        <v>38</v>
      </c>
      <c r="T64" s="7">
        <f>VLOOKUP("l" &amp; T$3 &amp; TEXT(DataLog[[#This Row],[Time]],"yyyymmddhhmmss"),DataTable!$A:$B,2,FALSE)</f>
        <v>30</v>
      </c>
      <c r="U64" s="7">
        <f t="shared" si="12"/>
        <v>29</v>
      </c>
      <c r="V64" s="7">
        <f t="shared" si="13"/>
        <v>31</v>
      </c>
    </row>
    <row r="65" spans="1:22" x14ac:dyDescent="0.25">
      <c r="A65" s="4">
        <f t="shared" si="14"/>
        <v>44686.874999999854</v>
      </c>
      <c r="B65" s="7">
        <f>VLOOKUP("l" &amp; B$3 &amp; TEXT(DataLog[[#This Row],[Time]],"yyyymmddhhmmss"),DataTable!$A:$B,2,FALSE)</f>
        <v>37.299999237060547</v>
      </c>
      <c r="C65" s="7">
        <f t="shared" si="0"/>
        <v>36</v>
      </c>
      <c r="D65" s="7">
        <f t="shared" si="15"/>
        <v>38</v>
      </c>
      <c r="E65" s="7">
        <f>VLOOKUP("l" &amp; E$3 &amp; TEXT(DataLog[[#This Row],[Time]],"yyyymmddhhmmss"),DataTable!$A:$B,2,FALSE)</f>
        <v>36</v>
      </c>
      <c r="F65" s="7">
        <f t="shared" si="2"/>
        <v>35</v>
      </c>
      <c r="G65" s="7">
        <f t="shared" si="16"/>
        <v>37</v>
      </c>
      <c r="H65" s="7">
        <f>VLOOKUP("l" &amp; H$3 &amp; TEXT(DataLog[[#This Row],[Time]],"yyyymmddhhmmss"),DataTable!$A:$B,2,FALSE)</f>
        <v>35.200000762939453</v>
      </c>
      <c r="I65" s="7">
        <f t="shared" si="4"/>
        <v>34</v>
      </c>
      <c r="J65" s="7">
        <f t="shared" si="5"/>
        <v>36</v>
      </c>
      <c r="K65" s="7">
        <f>VLOOKUP("l" &amp; K$3 &amp; TEXT(DataLog[[#This Row],[Time]],"yyyymmddhhmmss"),DataTable!$A:$B,2,FALSE)</f>
        <v>29.600000381469727</v>
      </c>
      <c r="L65" s="7">
        <f t="shared" si="6"/>
        <v>29</v>
      </c>
      <c r="M65" s="7">
        <f t="shared" si="7"/>
        <v>31</v>
      </c>
      <c r="N65" s="7">
        <f>VLOOKUP("l" &amp; N$3 &amp; TEXT(DataLog[[#This Row],[Time]],"yyyymmddhhmmss"),DataTable!$A:$B,2,FALSE)</f>
        <v>25</v>
      </c>
      <c r="O65" s="7">
        <f t="shared" si="8"/>
        <v>24</v>
      </c>
      <c r="P65" s="7">
        <f t="shared" si="9"/>
        <v>26</v>
      </c>
      <c r="Q65" s="7">
        <f>VLOOKUP("l" &amp; Q$3 &amp; TEXT(DataLog[[#This Row],[Time]],"yyyymmddhhmmss"),DataTable!$A:$B,2,FALSE)</f>
        <v>37.099998474121094</v>
      </c>
      <c r="R65" s="7">
        <f t="shared" si="10"/>
        <v>36</v>
      </c>
      <c r="S65" s="7">
        <f t="shared" si="11"/>
        <v>38</v>
      </c>
      <c r="T65" s="7">
        <f>VLOOKUP("l" &amp; T$3 &amp; TEXT(DataLog[[#This Row],[Time]],"yyyymmddhhmmss"),DataTable!$A:$B,2,FALSE)</f>
        <v>30.399999618530273</v>
      </c>
      <c r="U65" s="7">
        <f t="shared" si="12"/>
        <v>29</v>
      </c>
      <c r="V65" s="7">
        <f t="shared" si="13"/>
        <v>31</v>
      </c>
    </row>
    <row r="66" spans="1:22" x14ac:dyDescent="0.25">
      <c r="A66" s="4">
        <f t="shared" si="14"/>
        <v>44686.885416666519</v>
      </c>
      <c r="B66" s="7">
        <f>VLOOKUP("l" &amp; B$3 &amp; TEXT(DataLog[[#This Row],[Time]],"yyyymmddhhmmss"),DataTable!$A:$B,2,FALSE)</f>
        <v>37.5</v>
      </c>
      <c r="C66" s="7">
        <f t="shared" si="0"/>
        <v>36</v>
      </c>
      <c r="D66" s="7">
        <f t="shared" si="15"/>
        <v>38</v>
      </c>
      <c r="E66" s="7">
        <f>VLOOKUP("l" &amp; E$3 &amp; TEXT(DataLog[[#This Row],[Time]],"yyyymmddhhmmss"),DataTable!$A:$B,2,FALSE)</f>
        <v>36.400001525878906</v>
      </c>
      <c r="F66" s="7">
        <f t="shared" si="2"/>
        <v>35</v>
      </c>
      <c r="G66" s="7">
        <f t="shared" si="16"/>
        <v>37</v>
      </c>
      <c r="H66" s="7">
        <f>VLOOKUP("l" &amp; H$3 &amp; TEXT(DataLog[[#This Row],[Time]],"yyyymmddhhmmss"),DataTable!$A:$B,2,FALSE)</f>
        <v>35.400001525878906</v>
      </c>
      <c r="I66" s="7">
        <f t="shared" si="4"/>
        <v>34</v>
      </c>
      <c r="J66" s="7">
        <f t="shared" si="5"/>
        <v>36</v>
      </c>
      <c r="K66" s="7">
        <f>VLOOKUP("l" &amp; K$3 &amp; TEXT(DataLog[[#This Row],[Time]],"yyyymmddhhmmss"),DataTable!$A:$B,2,FALSE)</f>
        <v>29.600000381469727</v>
      </c>
      <c r="L66" s="7">
        <f t="shared" si="6"/>
        <v>29</v>
      </c>
      <c r="M66" s="7">
        <f t="shared" si="7"/>
        <v>31</v>
      </c>
      <c r="N66" s="7">
        <f>VLOOKUP("l" &amp; N$3 &amp; TEXT(DataLog[[#This Row],[Time]],"yyyymmddhhmmss"),DataTable!$A:$B,2,FALSE)</f>
        <v>24.799999237060547</v>
      </c>
      <c r="O66" s="7">
        <f t="shared" si="8"/>
        <v>24</v>
      </c>
      <c r="P66" s="7">
        <f t="shared" si="9"/>
        <v>26</v>
      </c>
      <c r="Q66" s="7">
        <f>VLOOKUP("l" &amp; Q$3 &amp; TEXT(DataLog[[#This Row],[Time]],"yyyymmddhhmmss"),DataTable!$A:$B,2,FALSE)</f>
        <v>37.099998474121094</v>
      </c>
      <c r="R66" s="7">
        <f t="shared" si="10"/>
        <v>36</v>
      </c>
      <c r="S66" s="7">
        <f t="shared" si="11"/>
        <v>38</v>
      </c>
      <c r="T66" s="7">
        <f>VLOOKUP("l" &amp; T$3 &amp; TEXT(DataLog[[#This Row],[Time]],"yyyymmddhhmmss"),DataTable!$A:$B,2,FALSE)</f>
        <v>30.399999618530273</v>
      </c>
      <c r="U66" s="7">
        <f t="shared" si="12"/>
        <v>29</v>
      </c>
      <c r="V66" s="7">
        <f t="shared" si="13"/>
        <v>31</v>
      </c>
    </row>
    <row r="67" spans="1:22" x14ac:dyDescent="0.25">
      <c r="A67" s="4">
        <f t="shared" si="14"/>
        <v>44686.895833333183</v>
      </c>
      <c r="B67" s="7">
        <f>VLOOKUP("l" &amp; B$3 &amp; TEXT(DataLog[[#This Row],[Time]],"yyyymmddhhmmss"),DataTable!$A:$B,2,FALSE)</f>
        <v>37.5</v>
      </c>
      <c r="C67" s="7">
        <f t="shared" si="0"/>
        <v>36</v>
      </c>
      <c r="D67" s="7">
        <f t="shared" si="15"/>
        <v>38</v>
      </c>
      <c r="E67" s="7">
        <f>VLOOKUP("l" &amp; E$3 &amp; TEXT(DataLog[[#This Row],[Time]],"yyyymmddhhmmss"),DataTable!$A:$B,2,FALSE)</f>
        <v>36.200000762939453</v>
      </c>
      <c r="F67" s="7">
        <f t="shared" si="2"/>
        <v>35</v>
      </c>
      <c r="G67" s="7">
        <f t="shared" si="16"/>
        <v>37</v>
      </c>
      <c r="H67" s="7">
        <f>VLOOKUP("l" &amp; H$3 &amp; TEXT(DataLog[[#This Row],[Time]],"yyyymmddhhmmss"),DataTable!$A:$B,2,FALSE)</f>
        <v>35.400001525878906</v>
      </c>
      <c r="I67" s="7">
        <f t="shared" si="4"/>
        <v>34</v>
      </c>
      <c r="J67" s="7">
        <f t="shared" si="5"/>
        <v>36</v>
      </c>
      <c r="K67" s="7">
        <f>VLOOKUP("l" &amp; K$3 &amp; TEXT(DataLog[[#This Row],[Time]],"yyyymmddhhmmss"),DataTable!$A:$B,2,FALSE)</f>
        <v>29.600000381469727</v>
      </c>
      <c r="L67" s="7">
        <f t="shared" si="6"/>
        <v>29</v>
      </c>
      <c r="M67" s="7">
        <f t="shared" si="7"/>
        <v>31</v>
      </c>
      <c r="N67" s="7">
        <f>VLOOKUP("l" &amp; N$3 &amp; TEXT(DataLog[[#This Row],[Time]],"yyyymmddhhmmss"),DataTable!$A:$B,2,FALSE)</f>
        <v>24.600000381469727</v>
      </c>
      <c r="O67" s="7">
        <f t="shared" si="8"/>
        <v>24</v>
      </c>
      <c r="P67" s="7">
        <f t="shared" si="9"/>
        <v>26</v>
      </c>
      <c r="Q67" s="7">
        <f>VLOOKUP("l" &amp; Q$3 &amp; TEXT(DataLog[[#This Row],[Time]],"yyyymmddhhmmss"),DataTable!$A:$B,2,FALSE)</f>
        <v>37.099998474121094</v>
      </c>
      <c r="R67" s="7">
        <f t="shared" si="10"/>
        <v>36</v>
      </c>
      <c r="S67" s="7">
        <f t="shared" si="11"/>
        <v>38</v>
      </c>
      <c r="T67" s="7">
        <f>VLOOKUP("l" &amp; T$3 &amp; TEXT(DataLog[[#This Row],[Time]],"yyyymmddhhmmss"),DataTable!$A:$B,2,FALSE)</f>
        <v>30.399999618530273</v>
      </c>
      <c r="U67" s="7">
        <f t="shared" si="12"/>
        <v>29</v>
      </c>
      <c r="V67" s="7">
        <f t="shared" si="13"/>
        <v>31</v>
      </c>
    </row>
    <row r="68" spans="1:22" x14ac:dyDescent="0.25">
      <c r="A68" s="4">
        <f t="shared" si="14"/>
        <v>44686.906249999847</v>
      </c>
      <c r="B68" s="7">
        <f>VLOOKUP("l" &amp; B$3 &amp; TEXT(DataLog[[#This Row],[Time]],"yyyymmddhhmmss"),DataTable!$A:$B,2,FALSE)</f>
        <v>37.299999237060547</v>
      </c>
      <c r="C68" s="7">
        <f t="shared" si="0"/>
        <v>36</v>
      </c>
      <c r="D68" s="7">
        <f t="shared" si="15"/>
        <v>38</v>
      </c>
      <c r="E68" s="7">
        <f>VLOOKUP("l" &amp; E$3 &amp; TEXT(DataLog[[#This Row],[Time]],"yyyymmddhhmmss"),DataTable!$A:$B,2,FALSE)</f>
        <v>35.599998474121094</v>
      </c>
      <c r="F68" s="7">
        <f t="shared" si="2"/>
        <v>35</v>
      </c>
      <c r="G68" s="7">
        <f t="shared" si="16"/>
        <v>37</v>
      </c>
      <c r="H68" s="7">
        <f>VLOOKUP("l" &amp; H$3 &amp; TEXT(DataLog[[#This Row],[Time]],"yyyymmddhhmmss"),DataTable!$A:$B,2,FALSE)</f>
        <v>35</v>
      </c>
      <c r="I68" s="7">
        <f t="shared" si="4"/>
        <v>34</v>
      </c>
      <c r="J68" s="7">
        <f t="shared" si="5"/>
        <v>36</v>
      </c>
      <c r="K68" s="7">
        <f>VLOOKUP("l" &amp; K$3 &amp; TEXT(DataLog[[#This Row],[Time]],"yyyymmddhhmmss"),DataTable!$A:$B,2,FALSE)</f>
        <v>29.600000381469727</v>
      </c>
      <c r="L68" s="7">
        <f t="shared" si="6"/>
        <v>29</v>
      </c>
      <c r="M68" s="7">
        <f t="shared" si="7"/>
        <v>31</v>
      </c>
      <c r="N68" s="7">
        <f>VLOOKUP("l" &amp; N$3 &amp; TEXT(DataLog[[#This Row],[Time]],"yyyymmddhhmmss"),DataTable!$A:$B,2,FALSE)</f>
        <v>24.600000381469727</v>
      </c>
      <c r="O68" s="7">
        <f t="shared" si="8"/>
        <v>24</v>
      </c>
      <c r="P68" s="7">
        <f t="shared" si="9"/>
        <v>26</v>
      </c>
      <c r="Q68" s="7">
        <f>VLOOKUP("l" &amp; Q$3 &amp; TEXT(DataLog[[#This Row],[Time]],"yyyymmddhhmmss"),DataTable!$A:$B,2,FALSE)</f>
        <v>37.099998474121094</v>
      </c>
      <c r="R68" s="7">
        <f t="shared" si="10"/>
        <v>36</v>
      </c>
      <c r="S68" s="7">
        <f t="shared" si="11"/>
        <v>38</v>
      </c>
      <c r="T68" s="7">
        <f>VLOOKUP("l" &amp; T$3 &amp; TEXT(DataLog[[#This Row],[Time]],"yyyymmddhhmmss"),DataTable!$A:$B,2,FALSE)</f>
        <v>30</v>
      </c>
      <c r="U68" s="7">
        <f t="shared" si="12"/>
        <v>29</v>
      </c>
      <c r="V68" s="7">
        <f t="shared" si="13"/>
        <v>31</v>
      </c>
    </row>
    <row r="69" spans="1:22" x14ac:dyDescent="0.25">
      <c r="A69" s="4">
        <f t="shared" si="14"/>
        <v>44686.916666666511</v>
      </c>
      <c r="B69" s="7">
        <f>VLOOKUP("l" &amp; B$3 &amp; TEXT(DataLog[[#This Row],[Time]],"yyyymmddhhmmss"),DataTable!$A:$B,2,FALSE)</f>
        <v>37.5</v>
      </c>
      <c r="C69" s="7">
        <f t="shared" ref="C69:C101" si="17">C$3-1</f>
        <v>36</v>
      </c>
      <c r="D69" s="7">
        <f t="shared" si="15"/>
        <v>38</v>
      </c>
      <c r="E69" s="7">
        <f>VLOOKUP("l" &amp; E$3 &amp; TEXT(DataLog[[#This Row],[Time]],"yyyymmddhhmmss"),DataTable!$A:$B,2,FALSE)</f>
        <v>36.400001525878906</v>
      </c>
      <c r="F69" s="7">
        <f t="shared" ref="F69:F101" si="18">F$3-1</f>
        <v>35</v>
      </c>
      <c r="G69" s="7">
        <f t="shared" si="16"/>
        <v>37</v>
      </c>
      <c r="H69" s="7">
        <f>VLOOKUP("l" &amp; H$3 &amp; TEXT(DataLog[[#This Row],[Time]],"yyyymmddhhmmss"),DataTable!$A:$B,2,FALSE)</f>
        <v>34.799999237060547</v>
      </c>
      <c r="I69" s="7">
        <f t="shared" ref="I69:I101" si="19">I$3-1</f>
        <v>34</v>
      </c>
      <c r="J69" s="7">
        <f t="shared" ref="J69:J101" si="20">J$3+1</f>
        <v>36</v>
      </c>
      <c r="K69" s="7">
        <f>VLOOKUP("l" &amp; K$3 &amp; TEXT(DataLog[[#This Row],[Time]],"yyyymmddhhmmss"),DataTable!$A:$B,2,FALSE)</f>
        <v>29.799999237060547</v>
      </c>
      <c r="L69" s="7">
        <f t="shared" ref="L69:L101" si="21">L$3-1</f>
        <v>29</v>
      </c>
      <c r="M69" s="7">
        <f t="shared" ref="M69:M101" si="22">M$3+1</f>
        <v>31</v>
      </c>
      <c r="N69" s="7">
        <f>VLOOKUP("l" &amp; N$3 &amp; TEXT(DataLog[[#This Row],[Time]],"yyyymmddhhmmss"),DataTable!$A:$B,2,FALSE)</f>
        <v>25</v>
      </c>
      <c r="O69" s="7">
        <f t="shared" ref="O69:O101" si="23">O$3-1</f>
        <v>24</v>
      </c>
      <c r="P69" s="7">
        <f t="shared" ref="P69:P101" si="24">P$3+1</f>
        <v>26</v>
      </c>
      <c r="Q69" s="7">
        <f>VLOOKUP("l" &amp; Q$3 &amp; TEXT(DataLog[[#This Row],[Time]],"yyyymmddhhmmss"),DataTable!$A:$B,2,FALSE)</f>
        <v>36.900001525878906</v>
      </c>
      <c r="R69" s="7">
        <f t="shared" ref="R69:R101" si="25">R$3-1</f>
        <v>36</v>
      </c>
      <c r="S69" s="7">
        <f t="shared" ref="S69:S101" si="26">S$3+1</f>
        <v>38</v>
      </c>
      <c r="T69" s="7">
        <f>VLOOKUP("l" &amp; T$3 &amp; TEXT(DataLog[[#This Row],[Time]],"yyyymmddhhmmss"),DataTable!$A:$B,2,FALSE)</f>
        <v>29.799999237060547</v>
      </c>
      <c r="U69" s="7">
        <f t="shared" ref="U69:U101" si="27">U$3-1</f>
        <v>29</v>
      </c>
      <c r="V69" s="7">
        <f t="shared" ref="V69:V101" si="28">V$3+1</f>
        <v>31</v>
      </c>
    </row>
    <row r="70" spans="1:22" x14ac:dyDescent="0.25">
      <c r="A70" s="4">
        <f t="shared" si="14"/>
        <v>44686.927083333176</v>
      </c>
      <c r="B70" s="7">
        <f>VLOOKUP("l" &amp; B$3 &amp; TEXT(DataLog[[#This Row],[Time]],"yyyymmddhhmmss"),DataTable!$A:$B,2,FALSE)</f>
        <v>37.099998474121094</v>
      </c>
      <c r="C70" s="7">
        <f t="shared" si="17"/>
        <v>36</v>
      </c>
      <c r="D70" s="7">
        <f t="shared" si="15"/>
        <v>38</v>
      </c>
      <c r="E70" s="7">
        <f>VLOOKUP("l" &amp; E$3 &amp; TEXT(DataLog[[#This Row],[Time]],"yyyymmddhhmmss"),DataTable!$A:$B,2,FALSE)</f>
        <v>36.400001525878906</v>
      </c>
      <c r="F70" s="7">
        <f t="shared" si="18"/>
        <v>35</v>
      </c>
      <c r="G70" s="7">
        <f t="shared" si="16"/>
        <v>37</v>
      </c>
      <c r="H70" s="7">
        <f>VLOOKUP("l" &amp; H$3 &amp; TEXT(DataLog[[#This Row],[Time]],"yyyymmddhhmmss"),DataTable!$A:$B,2,FALSE)</f>
        <v>35.200000762939453</v>
      </c>
      <c r="I70" s="7">
        <f t="shared" si="19"/>
        <v>34</v>
      </c>
      <c r="J70" s="7">
        <f t="shared" si="20"/>
        <v>36</v>
      </c>
      <c r="K70" s="7">
        <f>VLOOKUP("l" &amp; K$3 &amp; TEXT(DataLog[[#This Row],[Time]],"yyyymmddhhmmss"),DataTable!$A:$B,2,FALSE)</f>
        <v>29.600000381469727</v>
      </c>
      <c r="L70" s="7">
        <f t="shared" si="21"/>
        <v>29</v>
      </c>
      <c r="M70" s="7">
        <f t="shared" si="22"/>
        <v>31</v>
      </c>
      <c r="N70" s="7">
        <f>VLOOKUP("l" &amp; N$3 &amp; TEXT(DataLog[[#This Row],[Time]],"yyyymmddhhmmss"),DataTable!$A:$B,2,FALSE)</f>
        <v>25</v>
      </c>
      <c r="O70" s="7">
        <f t="shared" si="23"/>
        <v>24</v>
      </c>
      <c r="P70" s="7">
        <f t="shared" si="24"/>
        <v>26</v>
      </c>
      <c r="Q70" s="7">
        <f>VLOOKUP("l" &amp; Q$3 &amp; TEXT(DataLog[[#This Row],[Time]],"yyyymmddhhmmss"),DataTable!$A:$B,2,FALSE)</f>
        <v>36.900001525878906</v>
      </c>
      <c r="R70" s="7">
        <f t="shared" si="25"/>
        <v>36</v>
      </c>
      <c r="S70" s="7">
        <f t="shared" si="26"/>
        <v>38</v>
      </c>
      <c r="T70" s="7">
        <f>VLOOKUP("l" &amp; T$3 &amp; TEXT(DataLog[[#This Row],[Time]],"yyyymmddhhmmss"),DataTable!$A:$B,2,FALSE)</f>
        <v>30</v>
      </c>
      <c r="U70" s="7">
        <f t="shared" si="27"/>
        <v>29</v>
      </c>
      <c r="V70" s="7">
        <f t="shared" si="28"/>
        <v>31</v>
      </c>
    </row>
    <row r="71" spans="1:22" x14ac:dyDescent="0.25">
      <c r="A71" s="4">
        <f t="shared" si="14"/>
        <v>44686.93749999984</v>
      </c>
      <c r="B71" s="7">
        <f>VLOOKUP("l" &amp; B$3 &amp; TEXT(DataLog[[#This Row],[Time]],"yyyymmddhhmmss"),DataTable!$A:$B,2,FALSE)</f>
        <v>37.5</v>
      </c>
      <c r="C71" s="7">
        <f t="shared" si="17"/>
        <v>36</v>
      </c>
      <c r="D71" s="7">
        <f t="shared" si="15"/>
        <v>38</v>
      </c>
      <c r="E71" s="7">
        <f>VLOOKUP("l" &amp; E$3 &amp; TEXT(DataLog[[#This Row],[Time]],"yyyymmddhhmmss"),DataTable!$A:$B,2,FALSE)</f>
        <v>35.799999237060547</v>
      </c>
      <c r="F71" s="7">
        <f t="shared" si="18"/>
        <v>35</v>
      </c>
      <c r="G71" s="7">
        <f t="shared" si="16"/>
        <v>37</v>
      </c>
      <c r="H71" s="7">
        <f>VLOOKUP("l" &amp; H$3 &amp; TEXT(DataLog[[#This Row],[Time]],"yyyymmddhhmmss"),DataTable!$A:$B,2,FALSE)</f>
        <v>35.400001525878906</v>
      </c>
      <c r="I71" s="7">
        <f t="shared" si="19"/>
        <v>34</v>
      </c>
      <c r="J71" s="7">
        <f t="shared" si="20"/>
        <v>36</v>
      </c>
      <c r="K71" s="7">
        <f>VLOOKUP("l" &amp; K$3 &amp; TEXT(DataLog[[#This Row],[Time]],"yyyymmddhhmmss"),DataTable!$A:$B,2,FALSE)</f>
        <v>29.600000381469727</v>
      </c>
      <c r="L71" s="7">
        <f t="shared" si="21"/>
        <v>29</v>
      </c>
      <c r="M71" s="7">
        <f t="shared" si="22"/>
        <v>31</v>
      </c>
      <c r="N71" s="7">
        <f>VLOOKUP("l" &amp; N$3 &amp; TEXT(DataLog[[#This Row],[Time]],"yyyymmddhhmmss"),DataTable!$A:$B,2,FALSE)</f>
        <v>25</v>
      </c>
      <c r="O71" s="7">
        <f t="shared" si="23"/>
        <v>24</v>
      </c>
      <c r="P71" s="7">
        <f t="shared" si="24"/>
        <v>26</v>
      </c>
      <c r="Q71" s="7">
        <f>VLOOKUP("l" &amp; Q$3 &amp; TEXT(DataLog[[#This Row],[Time]],"yyyymmddhhmmss"),DataTable!$A:$B,2,FALSE)</f>
        <v>36.900001525878906</v>
      </c>
      <c r="R71" s="7">
        <f t="shared" si="25"/>
        <v>36</v>
      </c>
      <c r="S71" s="7">
        <f t="shared" si="26"/>
        <v>38</v>
      </c>
      <c r="T71" s="7">
        <f>VLOOKUP("l" &amp; T$3 &amp; TEXT(DataLog[[#This Row],[Time]],"yyyymmddhhmmss"),DataTable!$A:$B,2,FALSE)</f>
        <v>30.200000762939453</v>
      </c>
      <c r="U71" s="7">
        <f t="shared" si="27"/>
        <v>29</v>
      </c>
      <c r="V71" s="7">
        <f t="shared" si="28"/>
        <v>31</v>
      </c>
    </row>
    <row r="72" spans="1:22" x14ac:dyDescent="0.25">
      <c r="A72" s="4">
        <f t="shared" ref="A72:A101" si="29">A71+TIME(0,15,0)</f>
        <v>44686.947916666504</v>
      </c>
      <c r="B72" s="7">
        <f>VLOOKUP("l" &amp; B$3 &amp; TEXT(DataLog[[#This Row],[Time]],"yyyymmddhhmmss"),DataTable!$A:$B,2,FALSE)</f>
        <v>37.099998474121094</v>
      </c>
      <c r="C72" s="7">
        <f t="shared" si="17"/>
        <v>36</v>
      </c>
      <c r="D72" s="7">
        <f t="shared" si="15"/>
        <v>38</v>
      </c>
      <c r="E72" s="7">
        <f>VLOOKUP("l" &amp; E$3 &amp; TEXT(DataLog[[#This Row],[Time]],"yyyymmddhhmmss"),DataTable!$A:$B,2,FALSE)</f>
        <v>36</v>
      </c>
      <c r="F72" s="7">
        <f t="shared" si="18"/>
        <v>35</v>
      </c>
      <c r="G72" s="7">
        <f t="shared" si="16"/>
        <v>37</v>
      </c>
      <c r="H72" s="7">
        <f>VLOOKUP("l" &amp; H$3 &amp; TEXT(DataLog[[#This Row],[Time]],"yyyymmddhhmmss"),DataTable!$A:$B,2,FALSE)</f>
        <v>35.200000762939453</v>
      </c>
      <c r="I72" s="7">
        <f t="shared" si="19"/>
        <v>34</v>
      </c>
      <c r="J72" s="7">
        <f t="shared" si="20"/>
        <v>36</v>
      </c>
      <c r="K72" s="7">
        <f>VLOOKUP("l" &amp; K$3 &amp; TEXT(DataLog[[#This Row],[Time]],"yyyymmddhhmmss"),DataTable!$A:$B,2,FALSE)</f>
        <v>29.799999237060547</v>
      </c>
      <c r="L72" s="7">
        <f t="shared" si="21"/>
        <v>29</v>
      </c>
      <c r="M72" s="7">
        <f t="shared" si="22"/>
        <v>31</v>
      </c>
      <c r="N72" s="7">
        <f>VLOOKUP("l" &amp; N$3 &amp; TEXT(DataLog[[#This Row],[Time]],"yyyymmddhhmmss"),DataTable!$A:$B,2,FALSE)</f>
        <v>24.799999237060547</v>
      </c>
      <c r="O72" s="7">
        <f t="shared" si="23"/>
        <v>24</v>
      </c>
      <c r="P72" s="7">
        <f t="shared" si="24"/>
        <v>26</v>
      </c>
      <c r="Q72" s="7">
        <f>VLOOKUP("l" &amp; Q$3 &amp; TEXT(DataLog[[#This Row],[Time]],"yyyymmddhhmmss"),DataTable!$A:$B,2,FALSE)</f>
        <v>36.900001525878906</v>
      </c>
      <c r="R72" s="7">
        <f t="shared" si="25"/>
        <v>36</v>
      </c>
      <c r="S72" s="7">
        <f t="shared" si="26"/>
        <v>38</v>
      </c>
      <c r="T72" s="7">
        <f>VLOOKUP("l" &amp; T$3 &amp; TEXT(DataLog[[#This Row],[Time]],"yyyymmddhhmmss"),DataTable!$A:$B,2,FALSE)</f>
        <v>30.399999618530273</v>
      </c>
      <c r="U72" s="7">
        <f t="shared" si="27"/>
        <v>29</v>
      </c>
      <c r="V72" s="7">
        <f t="shared" si="28"/>
        <v>31</v>
      </c>
    </row>
    <row r="73" spans="1:22" x14ac:dyDescent="0.25">
      <c r="A73" s="4">
        <f t="shared" si="29"/>
        <v>44686.958333333168</v>
      </c>
      <c r="B73" s="7">
        <f>VLOOKUP("l" &amp; B$3 &amp; TEXT(DataLog[[#This Row],[Time]],"yyyymmddhhmmss"),DataTable!$A:$B,2,FALSE)</f>
        <v>37.5</v>
      </c>
      <c r="C73" s="7">
        <f t="shared" si="17"/>
        <v>36</v>
      </c>
      <c r="D73" s="7">
        <f t="shared" si="15"/>
        <v>38</v>
      </c>
      <c r="E73" s="7">
        <f>VLOOKUP("l" &amp; E$3 &amp; TEXT(DataLog[[#This Row],[Time]],"yyyymmddhhmmss"),DataTable!$A:$B,2,FALSE)</f>
        <v>36.400001525878906</v>
      </c>
      <c r="F73" s="7">
        <f t="shared" si="18"/>
        <v>35</v>
      </c>
      <c r="G73" s="7">
        <f t="shared" si="16"/>
        <v>37</v>
      </c>
      <c r="H73" s="7">
        <f>VLOOKUP("l" &amp; H$3 &amp; TEXT(DataLog[[#This Row],[Time]],"yyyymmddhhmmss"),DataTable!$A:$B,2,FALSE)</f>
        <v>34.799999237060547</v>
      </c>
      <c r="I73" s="7">
        <f t="shared" si="19"/>
        <v>34</v>
      </c>
      <c r="J73" s="7">
        <f t="shared" si="20"/>
        <v>36</v>
      </c>
      <c r="K73" s="7">
        <f>VLOOKUP("l" &amp; K$3 &amp; TEXT(DataLog[[#This Row],[Time]],"yyyymmddhhmmss"),DataTable!$A:$B,2,FALSE)</f>
        <v>29.799999237060547</v>
      </c>
      <c r="L73" s="7">
        <f t="shared" si="21"/>
        <v>29</v>
      </c>
      <c r="M73" s="7">
        <f t="shared" si="22"/>
        <v>31</v>
      </c>
      <c r="N73" s="7">
        <f>VLOOKUP("l" &amp; N$3 &amp; TEXT(DataLog[[#This Row],[Time]],"yyyymmddhhmmss"),DataTable!$A:$B,2,FALSE)</f>
        <v>24.600000381469727</v>
      </c>
      <c r="O73" s="7">
        <f t="shared" si="23"/>
        <v>24</v>
      </c>
      <c r="P73" s="7">
        <f t="shared" si="24"/>
        <v>26</v>
      </c>
      <c r="Q73" s="7">
        <f>VLOOKUP("l" &amp; Q$3 &amp; TEXT(DataLog[[#This Row],[Time]],"yyyymmddhhmmss"),DataTable!$A:$B,2,FALSE)</f>
        <v>36.900001525878906</v>
      </c>
      <c r="R73" s="7">
        <f t="shared" si="25"/>
        <v>36</v>
      </c>
      <c r="S73" s="7">
        <f t="shared" si="26"/>
        <v>38</v>
      </c>
      <c r="T73" s="7">
        <f>VLOOKUP("l" &amp; T$3 &amp; TEXT(DataLog[[#This Row],[Time]],"yyyymmddhhmmss"),DataTable!$A:$B,2,FALSE)</f>
        <v>30.200000762939453</v>
      </c>
      <c r="U73" s="7">
        <f t="shared" si="27"/>
        <v>29</v>
      </c>
      <c r="V73" s="7">
        <f t="shared" si="28"/>
        <v>31</v>
      </c>
    </row>
    <row r="74" spans="1:22" x14ac:dyDescent="0.25">
      <c r="A74" s="4">
        <f t="shared" si="29"/>
        <v>44686.968749999833</v>
      </c>
      <c r="B74" s="7">
        <f>VLOOKUP("l" &amp; B$3 &amp; TEXT(DataLog[[#This Row],[Time]],"yyyymmddhhmmss"),DataTable!$A:$B,2,FALSE)</f>
        <v>37.099998474121094</v>
      </c>
      <c r="C74" s="7">
        <f t="shared" si="17"/>
        <v>36</v>
      </c>
      <c r="D74" s="7">
        <f t="shared" si="15"/>
        <v>38</v>
      </c>
      <c r="E74" s="7">
        <f>VLOOKUP("l" &amp; E$3 &amp; TEXT(DataLog[[#This Row],[Time]],"yyyymmddhhmmss"),DataTable!$A:$B,2,FALSE)</f>
        <v>36.200000762939453</v>
      </c>
      <c r="F74" s="7">
        <f t="shared" si="18"/>
        <v>35</v>
      </c>
      <c r="G74" s="7">
        <f t="shared" si="16"/>
        <v>37</v>
      </c>
      <c r="H74" s="7">
        <f>VLOOKUP("l" &amp; H$3 &amp; TEXT(DataLog[[#This Row],[Time]],"yyyymmddhhmmss"),DataTable!$A:$B,2,FALSE)</f>
        <v>35.200000762939453</v>
      </c>
      <c r="I74" s="7">
        <f t="shared" si="19"/>
        <v>34</v>
      </c>
      <c r="J74" s="7">
        <f t="shared" si="20"/>
        <v>36</v>
      </c>
      <c r="K74" s="7">
        <f>VLOOKUP("l" &amp; K$3 &amp; TEXT(DataLog[[#This Row],[Time]],"yyyymmddhhmmss"),DataTable!$A:$B,2,FALSE)</f>
        <v>29.600000381469727</v>
      </c>
      <c r="L74" s="7">
        <f t="shared" si="21"/>
        <v>29</v>
      </c>
      <c r="M74" s="7">
        <f t="shared" si="22"/>
        <v>31</v>
      </c>
      <c r="N74" s="7">
        <f>VLOOKUP("l" &amp; N$3 &amp; TEXT(DataLog[[#This Row],[Time]],"yyyymmddhhmmss"),DataTable!$A:$B,2,FALSE)</f>
        <v>24.399999618530273</v>
      </c>
      <c r="O74" s="7">
        <f t="shared" si="23"/>
        <v>24</v>
      </c>
      <c r="P74" s="7">
        <f t="shared" si="24"/>
        <v>26</v>
      </c>
      <c r="Q74" s="7">
        <f>VLOOKUP("l" &amp; Q$3 &amp; TEXT(DataLog[[#This Row],[Time]],"yyyymmddhhmmss"),DataTable!$A:$B,2,FALSE)</f>
        <v>36.700000762939453</v>
      </c>
      <c r="R74" s="7">
        <f t="shared" si="25"/>
        <v>36</v>
      </c>
      <c r="S74" s="7">
        <f t="shared" si="26"/>
        <v>38</v>
      </c>
      <c r="T74" s="7">
        <f>VLOOKUP("l" &amp; T$3 &amp; TEXT(DataLog[[#This Row],[Time]],"yyyymmddhhmmss"),DataTable!$A:$B,2,FALSE)</f>
        <v>30</v>
      </c>
      <c r="U74" s="7">
        <f t="shared" si="27"/>
        <v>29</v>
      </c>
      <c r="V74" s="7">
        <f t="shared" si="28"/>
        <v>31</v>
      </c>
    </row>
    <row r="75" spans="1:22" x14ac:dyDescent="0.25">
      <c r="A75" s="4">
        <f t="shared" si="29"/>
        <v>44686.979166666497</v>
      </c>
      <c r="B75" s="7">
        <f>VLOOKUP("l" &amp; B$3 &amp; TEXT(DataLog[[#This Row],[Time]],"yyyymmddhhmmss"),DataTable!$A:$B,2,FALSE)</f>
        <v>37.5</v>
      </c>
      <c r="C75" s="7">
        <f t="shared" si="17"/>
        <v>36</v>
      </c>
      <c r="D75" s="7">
        <f t="shared" si="15"/>
        <v>38</v>
      </c>
      <c r="E75" s="7">
        <f>VLOOKUP("l" &amp; E$3 &amp; TEXT(DataLog[[#This Row],[Time]],"yyyymmddhhmmss"),DataTable!$A:$B,2,FALSE)</f>
        <v>35.599998474121094</v>
      </c>
      <c r="F75" s="7">
        <f t="shared" si="18"/>
        <v>35</v>
      </c>
      <c r="G75" s="7">
        <f t="shared" si="16"/>
        <v>37</v>
      </c>
      <c r="H75" s="7">
        <f>VLOOKUP("l" &amp; H$3 &amp; TEXT(DataLog[[#This Row],[Time]],"yyyymmddhhmmss"),DataTable!$A:$B,2,FALSE)</f>
        <v>35.400001525878906</v>
      </c>
      <c r="I75" s="7">
        <f t="shared" si="19"/>
        <v>34</v>
      </c>
      <c r="J75" s="7">
        <f t="shared" si="20"/>
        <v>36</v>
      </c>
      <c r="K75" s="7">
        <f>VLOOKUP("l" &amp; K$3 &amp; TEXT(DataLog[[#This Row],[Time]],"yyyymmddhhmmss"),DataTable!$A:$B,2,FALSE)</f>
        <v>29.600000381469727</v>
      </c>
      <c r="L75" s="7">
        <f t="shared" si="21"/>
        <v>29</v>
      </c>
      <c r="M75" s="7">
        <f t="shared" si="22"/>
        <v>31</v>
      </c>
      <c r="N75" s="7">
        <f>VLOOKUP("l" &amp; N$3 &amp; TEXT(DataLog[[#This Row],[Time]],"yyyymmddhhmmss"),DataTable!$A:$B,2,FALSE)</f>
        <v>25</v>
      </c>
      <c r="O75" s="7">
        <f t="shared" si="23"/>
        <v>24</v>
      </c>
      <c r="P75" s="7">
        <f t="shared" si="24"/>
        <v>26</v>
      </c>
      <c r="Q75" s="7">
        <f>VLOOKUP("l" &amp; Q$3 &amp; TEXT(DataLog[[#This Row],[Time]],"yyyymmddhhmmss"),DataTable!$A:$B,2,FALSE)</f>
        <v>36.700000762939453</v>
      </c>
      <c r="R75" s="7">
        <f t="shared" si="25"/>
        <v>36</v>
      </c>
      <c r="S75" s="7">
        <f t="shared" si="26"/>
        <v>38</v>
      </c>
      <c r="T75" s="7">
        <f>VLOOKUP("l" &amp; T$3 &amp; TEXT(DataLog[[#This Row],[Time]],"yyyymmddhhmmss"),DataTable!$A:$B,2,FALSE)</f>
        <v>29.799999237060547</v>
      </c>
      <c r="U75" s="7">
        <f t="shared" si="27"/>
        <v>29</v>
      </c>
      <c r="V75" s="7">
        <f t="shared" si="28"/>
        <v>31</v>
      </c>
    </row>
    <row r="76" spans="1:22" x14ac:dyDescent="0.25">
      <c r="A76" s="4">
        <f t="shared" si="29"/>
        <v>44686.989583333161</v>
      </c>
      <c r="B76" s="7">
        <f>VLOOKUP("l" &amp; B$3 &amp; TEXT(DataLog[[#This Row],[Time]],"yyyymmddhhmmss"),DataTable!$A:$B,2,FALSE)</f>
        <v>37.099998474121094</v>
      </c>
      <c r="C76" s="7">
        <f t="shared" si="17"/>
        <v>36</v>
      </c>
      <c r="D76" s="7">
        <f t="shared" si="15"/>
        <v>38</v>
      </c>
      <c r="E76" s="7">
        <f>VLOOKUP("l" &amp; E$3 &amp; TEXT(DataLog[[#This Row],[Time]],"yyyymmddhhmmss"),DataTable!$A:$B,2,FALSE)</f>
        <v>36.400001525878906</v>
      </c>
      <c r="F76" s="7">
        <f t="shared" si="18"/>
        <v>35</v>
      </c>
      <c r="G76" s="7">
        <f t="shared" si="16"/>
        <v>37</v>
      </c>
      <c r="H76" s="7">
        <f>VLOOKUP("l" &amp; H$3 &amp; TEXT(DataLog[[#This Row],[Time]],"yyyymmddhhmmss"),DataTable!$A:$B,2,FALSE)</f>
        <v>35.200000762939453</v>
      </c>
      <c r="I76" s="7">
        <f t="shared" si="19"/>
        <v>34</v>
      </c>
      <c r="J76" s="7">
        <f t="shared" si="20"/>
        <v>36</v>
      </c>
      <c r="K76" s="7">
        <f>VLOOKUP("l" &amp; K$3 &amp; TEXT(DataLog[[#This Row],[Time]],"yyyymmddhhmmss"),DataTable!$A:$B,2,FALSE)</f>
        <v>29.799999237060547</v>
      </c>
      <c r="L76" s="7">
        <f t="shared" si="21"/>
        <v>29</v>
      </c>
      <c r="M76" s="7">
        <f t="shared" si="22"/>
        <v>31</v>
      </c>
      <c r="N76" s="7">
        <f>VLOOKUP("l" &amp; N$3 &amp; TEXT(DataLog[[#This Row],[Time]],"yyyymmddhhmmss"),DataTable!$A:$B,2,FALSE)</f>
        <v>25.200000762939453</v>
      </c>
      <c r="O76" s="7">
        <f t="shared" si="23"/>
        <v>24</v>
      </c>
      <c r="P76" s="7">
        <f t="shared" si="24"/>
        <v>26</v>
      </c>
      <c r="Q76" s="7">
        <f>VLOOKUP("l" &amp; Q$3 &amp; TEXT(DataLog[[#This Row],[Time]],"yyyymmddhhmmss"),DataTable!$A:$B,2,FALSE)</f>
        <v>36.700000762939453</v>
      </c>
      <c r="R76" s="7">
        <f t="shared" si="25"/>
        <v>36</v>
      </c>
      <c r="S76" s="7">
        <f t="shared" si="26"/>
        <v>38</v>
      </c>
      <c r="T76" s="7">
        <f>VLOOKUP("l" &amp; T$3 &amp; TEXT(DataLog[[#This Row],[Time]],"yyyymmddhhmmss"),DataTable!$A:$B,2,FALSE)</f>
        <v>30</v>
      </c>
      <c r="U76" s="7">
        <f t="shared" si="27"/>
        <v>29</v>
      </c>
      <c r="V76" s="7">
        <f t="shared" si="28"/>
        <v>31</v>
      </c>
    </row>
    <row r="77" spans="1:22" x14ac:dyDescent="0.25">
      <c r="A77" s="4">
        <f t="shared" si="29"/>
        <v>44686.999999999825</v>
      </c>
      <c r="B77" s="7">
        <f>VLOOKUP("l" &amp; B$3 &amp; TEXT(DataLog[[#This Row],[Time]],"yyyymmddhhmmss"),DataTable!$A:$B,2,FALSE)</f>
        <v>37.700000762939453</v>
      </c>
      <c r="C77" s="7">
        <f t="shared" si="17"/>
        <v>36</v>
      </c>
      <c r="D77" s="7">
        <f t="shared" si="15"/>
        <v>38</v>
      </c>
      <c r="E77" s="7">
        <f>VLOOKUP("l" &amp; E$3 &amp; TEXT(DataLog[[#This Row],[Time]],"yyyymmddhhmmss"),DataTable!$A:$B,2,FALSE)</f>
        <v>36.400001525878906</v>
      </c>
      <c r="F77" s="7">
        <f t="shared" si="18"/>
        <v>35</v>
      </c>
      <c r="G77" s="7">
        <f t="shared" si="16"/>
        <v>37</v>
      </c>
      <c r="H77" s="7">
        <f>VLOOKUP("l" &amp; H$3 &amp; TEXT(DataLog[[#This Row],[Time]],"yyyymmddhhmmss"),DataTable!$A:$B,2,FALSE)</f>
        <v>34.799999237060547</v>
      </c>
      <c r="I77" s="7">
        <f t="shared" si="19"/>
        <v>34</v>
      </c>
      <c r="J77" s="7">
        <f t="shared" si="20"/>
        <v>36</v>
      </c>
      <c r="K77" s="7">
        <f>VLOOKUP("l" &amp; K$3 &amp; TEXT(DataLog[[#This Row],[Time]],"yyyymmddhhmmss"),DataTable!$A:$B,2,FALSE)</f>
        <v>29.799999237060547</v>
      </c>
      <c r="L77" s="7">
        <f t="shared" si="21"/>
        <v>29</v>
      </c>
      <c r="M77" s="7">
        <f t="shared" si="22"/>
        <v>31</v>
      </c>
      <c r="N77" s="7">
        <f>VLOOKUP("l" &amp; N$3 &amp; TEXT(DataLog[[#This Row],[Time]],"yyyymmddhhmmss"),DataTable!$A:$B,2,FALSE)</f>
        <v>25.200000762939453</v>
      </c>
      <c r="O77" s="7">
        <f t="shared" si="23"/>
        <v>24</v>
      </c>
      <c r="P77" s="7">
        <f t="shared" si="24"/>
        <v>26</v>
      </c>
      <c r="Q77" s="7">
        <f>VLOOKUP("l" &amp; Q$3 &amp; TEXT(DataLog[[#This Row],[Time]],"yyyymmddhhmmss"),DataTable!$A:$B,2,FALSE)</f>
        <v>36.900001525878906</v>
      </c>
      <c r="R77" s="7">
        <f t="shared" si="25"/>
        <v>36</v>
      </c>
      <c r="S77" s="7">
        <f t="shared" si="26"/>
        <v>38</v>
      </c>
      <c r="T77" s="7">
        <f>VLOOKUP("l" &amp; T$3 &amp; TEXT(DataLog[[#This Row],[Time]],"yyyymmddhhmmss"),DataTable!$A:$B,2,FALSE)</f>
        <v>30.399999618530273</v>
      </c>
      <c r="U77" s="7">
        <f t="shared" si="27"/>
        <v>29</v>
      </c>
      <c r="V77" s="7">
        <f t="shared" si="28"/>
        <v>31</v>
      </c>
    </row>
    <row r="78" spans="1:22" x14ac:dyDescent="0.25">
      <c r="A78" s="4">
        <f t="shared" si="29"/>
        <v>44687.01041666649</v>
      </c>
      <c r="B78" s="7">
        <f>VLOOKUP("l" &amp; B$3 &amp; TEXT(DataLog[[#This Row],[Time]],"yyyymmddhhmmss"),DataTable!$A:$B,2,FALSE)</f>
        <v>37.299999237060547</v>
      </c>
      <c r="C78" s="7">
        <f t="shared" si="17"/>
        <v>36</v>
      </c>
      <c r="D78" s="7">
        <f t="shared" si="15"/>
        <v>38</v>
      </c>
      <c r="E78" s="7">
        <f>VLOOKUP("l" &amp; E$3 &amp; TEXT(DataLog[[#This Row],[Time]],"yyyymmddhhmmss"),DataTable!$A:$B,2,FALSE)</f>
        <v>36</v>
      </c>
      <c r="F78" s="7">
        <f t="shared" si="18"/>
        <v>35</v>
      </c>
      <c r="G78" s="7">
        <f t="shared" si="16"/>
        <v>37</v>
      </c>
      <c r="H78" s="7">
        <f>VLOOKUP("l" &amp; H$3 &amp; TEXT(DataLog[[#This Row],[Time]],"yyyymmddhhmmss"),DataTable!$A:$B,2,FALSE)</f>
        <v>35</v>
      </c>
      <c r="I78" s="7">
        <f t="shared" si="19"/>
        <v>34</v>
      </c>
      <c r="J78" s="7">
        <f t="shared" si="20"/>
        <v>36</v>
      </c>
      <c r="K78" s="7">
        <f>VLOOKUP("l" &amp; K$3 &amp; TEXT(DataLog[[#This Row],[Time]],"yyyymmddhhmmss"),DataTable!$A:$B,2,FALSE)</f>
        <v>29.600000381469727</v>
      </c>
      <c r="L78" s="7">
        <f t="shared" si="21"/>
        <v>29</v>
      </c>
      <c r="M78" s="7">
        <f t="shared" si="22"/>
        <v>31</v>
      </c>
      <c r="N78" s="7">
        <f>VLOOKUP("l" &amp; N$3 &amp; TEXT(DataLog[[#This Row],[Time]],"yyyymmddhhmmss"),DataTable!$A:$B,2,FALSE)</f>
        <v>25</v>
      </c>
      <c r="O78" s="7">
        <f t="shared" si="23"/>
        <v>24</v>
      </c>
      <c r="P78" s="7">
        <f t="shared" si="24"/>
        <v>26</v>
      </c>
      <c r="Q78" s="7">
        <f>VLOOKUP("l" &amp; Q$3 &amp; TEXT(DataLog[[#This Row],[Time]],"yyyymmddhhmmss"),DataTable!$A:$B,2,FALSE)</f>
        <v>37.099998474121094</v>
      </c>
      <c r="R78" s="7">
        <f t="shared" si="25"/>
        <v>36</v>
      </c>
      <c r="S78" s="7">
        <f t="shared" si="26"/>
        <v>38</v>
      </c>
      <c r="T78" s="7">
        <f>VLOOKUP("l" &amp; T$3 &amp; TEXT(DataLog[[#This Row],[Time]],"yyyymmddhhmmss"),DataTable!$A:$B,2,FALSE)</f>
        <v>30.399999618530273</v>
      </c>
      <c r="U78" s="7">
        <f t="shared" si="27"/>
        <v>29</v>
      </c>
      <c r="V78" s="7">
        <f t="shared" si="28"/>
        <v>31</v>
      </c>
    </row>
    <row r="79" spans="1:22" x14ac:dyDescent="0.25">
      <c r="A79" s="4">
        <f t="shared" si="29"/>
        <v>44687.020833333154</v>
      </c>
      <c r="B79" s="7">
        <f>VLOOKUP("l" &amp; B$3 &amp; TEXT(DataLog[[#This Row],[Time]],"yyyymmddhhmmss"),DataTable!$A:$B,2,FALSE)</f>
        <v>37.5</v>
      </c>
      <c r="C79" s="7">
        <f t="shared" si="17"/>
        <v>36</v>
      </c>
      <c r="D79" s="7">
        <f t="shared" si="15"/>
        <v>38</v>
      </c>
      <c r="E79" s="7">
        <f>VLOOKUP("l" &amp; E$3 &amp; TEXT(DataLog[[#This Row],[Time]],"yyyymmddhhmmss"),DataTable!$A:$B,2,FALSE)</f>
        <v>35.799999237060547</v>
      </c>
      <c r="F79" s="7">
        <f t="shared" si="18"/>
        <v>35</v>
      </c>
      <c r="G79" s="7">
        <f t="shared" si="16"/>
        <v>37</v>
      </c>
      <c r="H79" s="7">
        <f>VLOOKUP("l" &amp; H$3 &amp; TEXT(DataLog[[#This Row],[Time]],"yyyymmddhhmmss"),DataTable!$A:$B,2,FALSE)</f>
        <v>35.400001525878906</v>
      </c>
      <c r="I79" s="7">
        <f t="shared" si="19"/>
        <v>34</v>
      </c>
      <c r="J79" s="7">
        <f t="shared" si="20"/>
        <v>36</v>
      </c>
      <c r="K79" s="7">
        <f>VLOOKUP("l" &amp; K$3 &amp; TEXT(DataLog[[#This Row],[Time]],"yyyymmddhhmmss"),DataTable!$A:$B,2,FALSE)</f>
        <v>29.600000381469727</v>
      </c>
      <c r="L79" s="7">
        <f t="shared" si="21"/>
        <v>29</v>
      </c>
      <c r="M79" s="7">
        <f t="shared" si="22"/>
        <v>31</v>
      </c>
      <c r="N79" s="7">
        <f>VLOOKUP("l" &amp; N$3 &amp; TEXT(DataLog[[#This Row],[Time]],"yyyymmddhhmmss"),DataTable!$A:$B,2,FALSE)</f>
        <v>24.799999237060547</v>
      </c>
      <c r="O79" s="7">
        <f t="shared" si="23"/>
        <v>24</v>
      </c>
      <c r="P79" s="7">
        <f t="shared" si="24"/>
        <v>26</v>
      </c>
      <c r="Q79" s="7">
        <f>VLOOKUP("l" &amp; Q$3 &amp; TEXT(DataLog[[#This Row],[Time]],"yyyymmddhhmmss"),DataTable!$A:$B,2,FALSE)</f>
        <v>36.900001525878906</v>
      </c>
      <c r="R79" s="7">
        <f t="shared" si="25"/>
        <v>36</v>
      </c>
      <c r="S79" s="7">
        <f t="shared" si="26"/>
        <v>38</v>
      </c>
      <c r="T79" s="7">
        <f>VLOOKUP("l" &amp; T$3 &amp; TEXT(DataLog[[#This Row],[Time]],"yyyymmddhhmmss"),DataTable!$A:$B,2,FALSE)</f>
        <v>30.200000762939453</v>
      </c>
      <c r="U79" s="7">
        <f t="shared" si="27"/>
        <v>29</v>
      </c>
      <c r="V79" s="7">
        <f t="shared" si="28"/>
        <v>31</v>
      </c>
    </row>
    <row r="80" spans="1:22" x14ac:dyDescent="0.25">
      <c r="A80" s="4">
        <f t="shared" si="29"/>
        <v>44687.031249999818</v>
      </c>
      <c r="B80" s="7">
        <f>VLOOKUP("l" &amp; B$3 &amp; TEXT(DataLog[[#This Row],[Time]],"yyyymmddhhmmss"),DataTable!$A:$B,2,FALSE)</f>
        <v>37.299999237060547</v>
      </c>
      <c r="C80" s="7">
        <f t="shared" si="17"/>
        <v>36</v>
      </c>
      <c r="D80" s="7">
        <f t="shared" si="15"/>
        <v>38</v>
      </c>
      <c r="E80" s="7">
        <f>VLOOKUP("l" &amp; E$3 &amp; TEXT(DataLog[[#This Row],[Time]],"yyyymmddhhmmss"),DataTable!$A:$B,2,FALSE)</f>
        <v>36.400001525878906</v>
      </c>
      <c r="F80" s="7">
        <f t="shared" si="18"/>
        <v>35</v>
      </c>
      <c r="G80" s="7">
        <f t="shared" si="16"/>
        <v>37</v>
      </c>
      <c r="H80" s="7">
        <f>VLOOKUP("l" &amp; H$3 &amp; TEXT(DataLog[[#This Row],[Time]],"yyyymmddhhmmss"),DataTable!$A:$B,2,FALSE)</f>
        <v>35.400001525878906</v>
      </c>
      <c r="I80" s="7">
        <f t="shared" si="19"/>
        <v>34</v>
      </c>
      <c r="J80" s="7">
        <f t="shared" si="20"/>
        <v>36</v>
      </c>
      <c r="K80" s="7">
        <f>VLOOKUP("l" &amp; K$3 &amp; TEXT(DataLog[[#This Row],[Time]],"yyyymmddhhmmss"),DataTable!$A:$B,2,FALSE)</f>
        <v>29.600000381469727</v>
      </c>
      <c r="L80" s="7">
        <f t="shared" si="21"/>
        <v>29</v>
      </c>
      <c r="M80" s="7">
        <f t="shared" si="22"/>
        <v>31</v>
      </c>
      <c r="N80" s="7">
        <f>VLOOKUP("l" &amp; N$3 &amp; TEXT(DataLog[[#This Row],[Time]],"yyyymmddhhmmss"),DataTable!$A:$B,2,FALSE)</f>
        <v>24.600000381469727</v>
      </c>
      <c r="O80" s="7">
        <f t="shared" si="23"/>
        <v>24</v>
      </c>
      <c r="P80" s="7">
        <f t="shared" si="24"/>
        <v>26</v>
      </c>
      <c r="Q80" s="7">
        <f>VLOOKUP("l" &amp; Q$3 &amp; TEXT(DataLog[[#This Row],[Time]],"yyyymmddhhmmss"),DataTable!$A:$B,2,FALSE)</f>
        <v>37.099998474121094</v>
      </c>
      <c r="R80" s="7">
        <f t="shared" si="25"/>
        <v>36</v>
      </c>
      <c r="S80" s="7">
        <f t="shared" si="26"/>
        <v>38</v>
      </c>
      <c r="T80" s="7">
        <f>VLOOKUP("l" &amp; T$3 &amp; TEXT(DataLog[[#This Row],[Time]],"yyyymmddhhmmss"),DataTable!$A:$B,2,FALSE)</f>
        <v>30</v>
      </c>
      <c r="U80" s="7">
        <f t="shared" si="27"/>
        <v>29</v>
      </c>
      <c r="V80" s="7">
        <f t="shared" si="28"/>
        <v>31</v>
      </c>
    </row>
    <row r="81" spans="1:22" x14ac:dyDescent="0.25">
      <c r="A81" s="4">
        <f t="shared" si="29"/>
        <v>44687.041666666482</v>
      </c>
      <c r="B81" s="7">
        <f>VLOOKUP("l" &amp; B$3 &amp; TEXT(DataLog[[#This Row],[Time]],"yyyymmddhhmmss"),DataTable!$A:$B,2,FALSE)</f>
        <v>37.5</v>
      </c>
      <c r="C81" s="7">
        <f t="shared" si="17"/>
        <v>36</v>
      </c>
      <c r="D81" s="7">
        <f t="shared" si="15"/>
        <v>38</v>
      </c>
      <c r="E81" s="7">
        <f>VLOOKUP("l" &amp; E$3 &amp; TEXT(DataLog[[#This Row],[Time]],"yyyymmddhhmmss"),DataTable!$A:$B,2,FALSE)</f>
        <v>36.200000762939453</v>
      </c>
      <c r="F81" s="7">
        <f t="shared" si="18"/>
        <v>35</v>
      </c>
      <c r="G81" s="7">
        <f t="shared" si="16"/>
        <v>37</v>
      </c>
      <c r="H81" s="7">
        <f>VLOOKUP("l" &amp; H$3 &amp; TEXT(DataLog[[#This Row],[Time]],"yyyymmddhhmmss"),DataTable!$A:$B,2,FALSE)</f>
        <v>35</v>
      </c>
      <c r="I81" s="7">
        <f t="shared" si="19"/>
        <v>34</v>
      </c>
      <c r="J81" s="7">
        <f t="shared" si="20"/>
        <v>36</v>
      </c>
      <c r="K81" s="7">
        <f>VLOOKUP("l" &amp; K$3 &amp; TEXT(DataLog[[#This Row],[Time]],"yyyymmddhhmmss"),DataTable!$A:$B,2,FALSE)</f>
        <v>29.799999237060547</v>
      </c>
      <c r="L81" s="7">
        <f t="shared" si="21"/>
        <v>29</v>
      </c>
      <c r="M81" s="7">
        <f t="shared" si="22"/>
        <v>31</v>
      </c>
      <c r="N81" s="7">
        <f>VLOOKUP("l" &amp; N$3 &amp; TEXT(DataLog[[#This Row],[Time]],"yyyymmddhhmmss"),DataTable!$A:$B,2,FALSE)</f>
        <v>24.799999237060547</v>
      </c>
      <c r="O81" s="7">
        <f t="shared" si="23"/>
        <v>24</v>
      </c>
      <c r="P81" s="7">
        <f t="shared" si="24"/>
        <v>26</v>
      </c>
      <c r="Q81" s="7">
        <f>VLOOKUP("l" &amp; Q$3 &amp; TEXT(DataLog[[#This Row],[Time]],"yyyymmddhhmmss"),DataTable!$A:$B,2,FALSE)</f>
        <v>37.099998474121094</v>
      </c>
      <c r="R81" s="7">
        <f t="shared" si="25"/>
        <v>36</v>
      </c>
      <c r="S81" s="7">
        <f t="shared" si="26"/>
        <v>38</v>
      </c>
      <c r="T81" s="7">
        <f>VLOOKUP("l" &amp; T$3 &amp; TEXT(DataLog[[#This Row],[Time]],"yyyymmddhhmmss"),DataTable!$A:$B,2,FALSE)</f>
        <v>29.799999237060547</v>
      </c>
      <c r="U81" s="7">
        <f t="shared" si="27"/>
        <v>29</v>
      </c>
      <c r="V81" s="7">
        <f t="shared" si="28"/>
        <v>31</v>
      </c>
    </row>
    <row r="82" spans="1:22" x14ac:dyDescent="0.25">
      <c r="A82" s="4">
        <f t="shared" si="29"/>
        <v>44687.052083333147</v>
      </c>
      <c r="B82" s="7">
        <f>VLOOKUP("l" &amp; B$3 &amp; TEXT(DataLog[[#This Row],[Time]],"yyyymmddhhmmss"),DataTable!$A:$B,2,FALSE)</f>
        <v>37.299999237060547</v>
      </c>
      <c r="C82" s="7">
        <f t="shared" si="17"/>
        <v>36</v>
      </c>
      <c r="D82" s="7">
        <f t="shared" si="15"/>
        <v>38</v>
      </c>
      <c r="E82" s="7">
        <f>VLOOKUP("l" &amp; E$3 &amp; TEXT(DataLog[[#This Row],[Time]],"yyyymmddhhmmss"),DataTable!$A:$B,2,FALSE)</f>
        <v>35.799999237060547</v>
      </c>
      <c r="F82" s="7">
        <f t="shared" si="18"/>
        <v>35</v>
      </c>
      <c r="G82" s="7">
        <f t="shared" si="16"/>
        <v>37</v>
      </c>
      <c r="H82" s="7">
        <f>VLOOKUP("l" &amp; H$3 &amp; TEXT(DataLog[[#This Row],[Time]],"yyyymmddhhmmss"),DataTable!$A:$B,2,FALSE)</f>
        <v>34.799999237060547</v>
      </c>
      <c r="I82" s="7">
        <f t="shared" si="19"/>
        <v>34</v>
      </c>
      <c r="J82" s="7">
        <f t="shared" si="20"/>
        <v>36</v>
      </c>
      <c r="K82" s="7">
        <f>VLOOKUP("l" &amp; K$3 &amp; TEXT(DataLog[[#This Row],[Time]],"yyyymmddhhmmss"),DataTable!$A:$B,2,FALSE)</f>
        <v>29.600000381469727</v>
      </c>
      <c r="L82" s="7">
        <f t="shared" si="21"/>
        <v>29</v>
      </c>
      <c r="M82" s="7">
        <f t="shared" si="22"/>
        <v>31</v>
      </c>
      <c r="N82" s="7">
        <f>VLOOKUP("l" &amp; N$3 &amp; TEXT(DataLog[[#This Row],[Time]],"yyyymmddhhmmss"),DataTable!$A:$B,2,FALSE)</f>
        <v>25</v>
      </c>
      <c r="O82" s="7">
        <f t="shared" si="23"/>
        <v>24</v>
      </c>
      <c r="P82" s="7">
        <f t="shared" si="24"/>
        <v>26</v>
      </c>
      <c r="Q82" s="7">
        <f>VLOOKUP("l" &amp; Q$3 &amp; TEXT(DataLog[[#This Row],[Time]],"yyyymmddhhmmss"),DataTable!$A:$B,2,FALSE)</f>
        <v>37.099998474121094</v>
      </c>
      <c r="R82" s="7">
        <f t="shared" si="25"/>
        <v>36</v>
      </c>
      <c r="S82" s="7">
        <f t="shared" si="26"/>
        <v>38</v>
      </c>
      <c r="T82" s="7">
        <f>VLOOKUP("l" &amp; T$3 &amp; TEXT(DataLog[[#This Row],[Time]],"yyyymmddhhmmss"),DataTable!$A:$B,2,FALSE)</f>
        <v>30</v>
      </c>
      <c r="U82" s="7">
        <f t="shared" si="27"/>
        <v>29</v>
      </c>
      <c r="V82" s="7">
        <f t="shared" si="28"/>
        <v>31</v>
      </c>
    </row>
    <row r="83" spans="1:22" x14ac:dyDescent="0.25">
      <c r="A83" s="4">
        <f t="shared" si="29"/>
        <v>44687.062499999811</v>
      </c>
      <c r="B83" s="7">
        <f>VLOOKUP("l" &amp; B$3 &amp; TEXT(DataLog[[#This Row],[Time]],"yyyymmddhhmmss"),DataTable!$A:$B,2,FALSE)</f>
        <v>37.700000762939453</v>
      </c>
      <c r="C83" s="7">
        <f t="shared" si="17"/>
        <v>36</v>
      </c>
      <c r="D83" s="7">
        <f t="shared" si="15"/>
        <v>38</v>
      </c>
      <c r="E83" s="7">
        <f>VLOOKUP("l" &amp; E$3 &amp; TEXT(DataLog[[#This Row],[Time]],"yyyymmddhhmmss"),DataTable!$A:$B,2,FALSE)</f>
        <v>36.200000762939453</v>
      </c>
      <c r="F83" s="7">
        <f t="shared" si="18"/>
        <v>35</v>
      </c>
      <c r="G83" s="7">
        <f t="shared" si="16"/>
        <v>37</v>
      </c>
      <c r="H83" s="7">
        <f>VLOOKUP("l" &amp; H$3 &amp; TEXT(DataLog[[#This Row],[Time]],"yyyymmddhhmmss"),DataTable!$A:$B,2,FALSE)</f>
        <v>35.200000762939453</v>
      </c>
      <c r="I83" s="7">
        <f t="shared" si="19"/>
        <v>34</v>
      </c>
      <c r="J83" s="7">
        <f t="shared" si="20"/>
        <v>36</v>
      </c>
      <c r="K83" s="7">
        <f>VLOOKUP("l" &amp; K$3 &amp; TEXT(DataLog[[#This Row],[Time]],"yyyymmddhhmmss"),DataTable!$A:$B,2,FALSE)</f>
        <v>29.799999237060547</v>
      </c>
      <c r="L83" s="7">
        <f t="shared" si="21"/>
        <v>29</v>
      </c>
      <c r="M83" s="7">
        <f t="shared" si="22"/>
        <v>31</v>
      </c>
      <c r="N83" s="7">
        <f>VLOOKUP("l" &amp; N$3 &amp; TEXT(DataLog[[#This Row],[Time]],"yyyymmddhhmmss"),DataTable!$A:$B,2,FALSE)</f>
        <v>25.200000762939453</v>
      </c>
      <c r="O83" s="7">
        <f t="shared" si="23"/>
        <v>24</v>
      </c>
      <c r="P83" s="7">
        <f t="shared" si="24"/>
        <v>26</v>
      </c>
      <c r="Q83" s="7">
        <f>VLOOKUP("l" &amp; Q$3 &amp; TEXT(DataLog[[#This Row],[Time]],"yyyymmddhhmmss"),DataTable!$A:$B,2,FALSE)</f>
        <v>36.900001525878906</v>
      </c>
      <c r="R83" s="7">
        <f t="shared" si="25"/>
        <v>36</v>
      </c>
      <c r="S83" s="7">
        <f t="shared" si="26"/>
        <v>38</v>
      </c>
      <c r="T83" s="7">
        <f>VLOOKUP("l" &amp; T$3 &amp; TEXT(DataLog[[#This Row],[Time]],"yyyymmddhhmmss"),DataTable!$A:$B,2,FALSE)</f>
        <v>30.399999618530273</v>
      </c>
      <c r="U83" s="7">
        <f t="shared" si="27"/>
        <v>29</v>
      </c>
      <c r="V83" s="7">
        <f t="shared" si="28"/>
        <v>31</v>
      </c>
    </row>
    <row r="84" spans="1:22" x14ac:dyDescent="0.25">
      <c r="A84" s="4">
        <f t="shared" si="29"/>
        <v>44687.072916666475</v>
      </c>
      <c r="B84" s="7">
        <f>VLOOKUP("l" &amp; B$3 &amp; TEXT(DataLog[[#This Row],[Time]],"yyyymmddhhmmss"),DataTable!$A:$B,2,FALSE)</f>
        <v>37.299999237060547</v>
      </c>
      <c r="C84" s="7">
        <f t="shared" si="17"/>
        <v>36</v>
      </c>
      <c r="D84" s="7">
        <f t="shared" si="15"/>
        <v>38</v>
      </c>
      <c r="E84" s="7">
        <f>VLOOKUP("l" &amp; E$3 &amp; TEXT(DataLog[[#This Row],[Time]],"yyyymmddhhmmss"),DataTable!$A:$B,2,FALSE)</f>
        <v>36.400001525878906</v>
      </c>
      <c r="F84" s="7">
        <f t="shared" si="18"/>
        <v>35</v>
      </c>
      <c r="G84" s="7">
        <f t="shared" si="16"/>
        <v>37</v>
      </c>
      <c r="H84" s="7">
        <f>VLOOKUP("l" &amp; H$3 &amp; TEXT(DataLog[[#This Row],[Time]],"yyyymmddhhmmss"),DataTable!$A:$B,2,FALSE)</f>
        <v>35.400001525878906</v>
      </c>
      <c r="I84" s="7">
        <f t="shared" si="19"/>
        <v>34</v>
      </c>
      <c r="J84" s="7">
        <f t="shared" si="20"/>
        <v>36</v>
      </c>
      <c r="K84" s="7">
        <f>VLOOKUP("l" &amp; K$3 &amp; TEXT(DataLog[[#This Row],[Time]],"yyyymmddhhmmss"),DataTable!$A:$B,2,FALSE)</f>
        <v>29.799999237060547</v>
      </c>
      <c r="L84" s="7">
        <f t="shared" si="21"/>
        <v>29</v>
      </c>
      <c r="M84" s="7">
        <f t="shared" si="22"/>
        <v>31</v>
      </c>
      <c r="N84" s="7">
        <f>VLOOKUP("l" &amp; N$3 &amp; TEXT(DataLog[[#This Row],[Time]],"yyyymmddhhmmss"),DataTable!$A:$B,2,FALSE)</f>
        <v>25</v>
      </c>
      <c r="O84" s="7">
        <f t="shared" si="23"/>
        <v>24</v>
      </c>
      <c r="P84" s="7">
        <f t="shared" si="24"/>
        <v>26</v>
      </c>
      <c r="Q84" s="7">
        <f>VLOOKUP("l" &amp; Q$3 &amp; TEXT(DataLog[[#This Row],[Time]],"yyyymmddhhmmss"),DataTable!$A:$B,2,FALSE)</f>
        <v>37.099998474121094</v>
      </c>
      <c r="R84" s="7">
        <f t="shared" si="25"/>
        <v>36</v>
      </c>
      <c r="S84" s="7">
        <f t="shared" si="26"/>
        <v>38</v>
      </c>
      <c r="T84" s="7">
        <f>VLOOKUP("l" &amp; T$3 &amp; TEXT(DataLog[[#This Row],[Time]],"yyyymmddhhmmss"),DataTable!$A:$B,2,FALSE)</f>
        <v>30.399999618530273</v>
      </c>
      <c r="U84" s="7">
        <f t="shared" si="27"/>
        <v>29</v>
      </c>
      <c r="V84" s="7">
        <f t="shared" si="28"/>
        <v>31</v>
      </c>
    </row>
    <row r="85" spans="1:22" x14ac:dyDescent="0.25">
      <c r="A85" s="4">
        <f t="shared" si="29"/>
        <v>44687.083333333139</v>
      </c>
      <c r="B85" s="7">
        <f>VLOOKUP("l" &amp; B$3 &amp; TEXT(DataLog[[#This Row],[Time]],"yyyymmddhhmmss"),DataTable!$A:$B,2,FALSE)</f>
        <v>37.700000762939453</v>
      </c>
      <c r="C85" s="7">
        <f t="shared" si="17"/>
        <v>36</v>
      </c>
      <c r="D85" s="7">
        <f t="shared" ref="D85:D101" si="30">D$3+1</f>
        <v>38</v>
      </c>
      <c r="E85" s="7">
        <f>VLOOKUP("l" &amp; E$3 &amp; TEXT(DataLog[[#This Row],[Time]],"yyyymmddhhmmss"),DataTable!$A:$B,2,FALSE)</f>
        <v>36.200000762939453</v>
      </c>
      <c r="F85" s="7">
        <f t="shared" si="18"/>
        <v>35</v>
      </c>
      <c r="G85" s="7">
        <f t="shared" ref="G85:G101" si="31">G$3+1</f>
        <v>37</v>
      </c>
      <c r="H85" s="7">
        <f>VLOOKUP("l" &amp; H$3 &amp; TEXT(DataLog[[#This Row],[Time]],"yyyymmddhhmmss"),DataTable!$A:$B,2,FALSE)</f>
        <v>35</v>
      </c>
      <c r="I85" s="7">
        <f t="shared" si="19"/>
        <v>34</v>
      </c>
      <c r="J85" s="7">
        <f t="shared" si="20"/>
        <v>36</v>
      </c>
      <c r="K85" s="7">
        <f>VLOOKUP("l" &amp; K$3 &amp; TEXT(DataLog[[#This Row],[Time]],"yyyymmddhhmmss"),DataTable!$A:$B,2,FALSE)</f>
        <v>29.600000381469727</v>
      </c>
      <c r="L85" s="7">
        <f t="shared" si="21"/>
        <v>29</v>
      </c>
      <c r="M85" s="7">
        <f t="shared" si="22"/>
        <v>31</v>
      </c>
      <c r="N85" s="7">
        <f>VLOOKUP("l" &amp; N$3 &amp; TEXT(DataLog[[#This Row],[Time]],"yyyymmddhhmmss"),DataTable!$A:$B,2,FALSE)</f>
        <v>24.799999237060547</v>
      </c>
      <c r="O85" s="7">
        <f t="shared" si="23"/>
        <v>24</v>
      </c>
      <c r="P85" s="7">
        <f t="shared" si="24"/>
        <v>26</v>
      </c>
      <c r="Q85" s="7">
        <f>VLOOKUP("l" &amp; Q$3 &amp; TEXT(DataLog[[#This Row],[Time]],"yyyymmddhhmmss"),DataTable!$A:$B,2,FALSE)</f>
        <v>36.900001525878906</v>
      </c>
      <c r="R85" s="7">
        <f t="shared" si="25"/>
        <v>36</v>
      </c>
      <c r="S85" s="7">
        <f t="shared" si="26"/>
        <v>38</v>
      </c>
      <c r="T85" s="7">
        <f>VLOOKUP("l" &amp; T$3 &amp; TEXT(DataLog[[#This Row],[Time]],"yyyymmddhhmmss"),DataTable!$A:$B,2,FALSE)</f>
        <v>30.200000762939453</v>
      </c>
      <c r="U85" s="7">
        <f t="shared" si="27"/>
        <v>29</v>
      </c>
      <c r="V85" s="7">
        <f t="shared" si="28"/>
        <v>31</v>
      </c>
    </row>
    <row r="86" spans="1:22" x14ac:dyDescent="0.25">
      <c r="A86" s="4">
        <f t="shared" si="29"/>
        <v>44687.093749999804</v>
      </c>
      <c r="B86" s="7">
        <f>VLOOKUP("l" &amp; B$3 &amp; TEXT(DataLog[[#This Row],[Time]],"yyyymmddhhmmss"),DataTable!$A:$B,2,FALSE)</f>
        <v>37.299999237060547</v>
      </c>
      <c r="C86" s="7">
        <f t="shared" si="17"/>
        <v>36</v>
      </c>
      <c r="D86" s="7">
        <f t="shared" si="30"/>
        <v>38</v>
      </c>
      <c r="E86" s="7">
        <f>VLOOKUP("l" &amp; E$3 &amp; TEXT(DataLog[[#This Row],[Time]],"yyyymmddhhmmss"),DataTable!$A:$B,2,FALSE)</f>
        <v>35.599998474121094</v>
      </c>
      <c r="F86" s="7">
        <f t="shared" si="18"/>
        <v>35</v>
      </c>
      <c r="G86" s="7">
        <f t="shared" si="31"/>
        <v>37</v>
      </c>
      <c r="H86" s="7">
        <f>VLOOKUP("l" &amp; H$3 &amp; TEXT(DataLog[[#This Row],[Time]],"yyyymmddhhmmss"),DataTable!$A:$B,2,FALSE)</f>
        <v>34.799999237060547</v>
      </c>
      <c r="I86" s="7">
        <f t="shared" si="19"/>
        <v>34</v>
      </c>
      <c r="J86" s="7">
        <f t="shared" si="20"/>
        <v>36</v>
      </c>
      <c r="K86" s="7">
        <f>VLOOKUP("l" &amp; K$3 &amp; TEXT(DataLog[[#This Row],[Time]],"yyyymmddhhmmss"),DataTable!$A:$B,2,FALSE)</f>
        <v>29.600000381469727</v>
      </c>
      <c r="L86" s="7">
        <f t="shared" si="21"/>
        <v>29</v>
      </c>
      <c r="M86" s="7">
        <f t="shared" si="22"/>
        <v>31</v>
      </c>
      <c r="N86" s="7">
        <f>VLOOKUP("l" &amp; N$3 &amp; TEXT(DataLog[[#This Row],[Time]],"yyyymmddhhmmss"),DataTable!$A:$B,2,FALSE)</f>
        <v>24.600000381469727</v>
      </c>
      <c r="O86" s="7">
        <f t="shared" si="23"/>
        <v>24</v>
      </c>
      <c r="P86" s="7">
        <f t="shared" si="24"/>
        <v>26</v>
      </c>
      <c r="Q86" s="7">
        <f>VLOOKUP("l" &amp; Q$3 &amp; TEXT(DataLog[[#This Row],[Time]],"yyyymmddhhmmss"),DataTable!$A:$B,2,FALSE)</f>
        <v>36.900001525878906</v>
      </c>
      <c r="R86" s="7">
        <f t="shared" si="25"/>
        <v>36</v>
      </c>
      <c r="S86" s="7">
        <f t="shared" si="26"/>
        <v>38</v>
      </c>
      <c r="T86" s="7">
        <f>VLOOKUP("l" &amp; T$3 &amp; TEXT(DataLog[[#This Row],[Time]],"yyyymmddhhmmss"),DataTable!$A:$B,2,FALSE)</f>
        <v>30</v>
      </c>
      <c r="U86" s="7">
        <f t="shared" si="27"/>
        <v>29</v>
      </c>
      <c r="V86" s="7">
        <f t="shared" si="28"/>
        <v>31</v>
      </c>
    </row>
    <row r="87" spans="1:22" x14ac:dyDescent="0.25">
      <c r="A87" s="4">
        <f t="shared" si="29"/>
        <v>44687.104166666468</v>
      </c>
      <c r="B87" s="7">
        <f>VLOOKUP("l" &amp; B$3 &amp; TEXT(DataLog[[#This Row],[Time]],"yyyymmddhhmmss"),DataTable!$A:$B,2,FALSE)</f>
        <v>37.700000762939453</v>
      </c>
      <c r="C87" s="7">
        <f t="shared" si="17"/>
        <v>36</v>
      </c>
      <c r="D87" s="7">
        <f t="shared" si="30"/>
        <v>38</v>
      </c>
      <c r="E87" s="7">
        <f>VLOOKUP("l" &amp; E$3 &amp; TEXT(DataLog[[#This Row],[Time]],"yyyymmddhhmmss"),DataTable!$A:$B,2,FALSE)</f>
        <v>36.400001525878906</v>
      </c>
      <c r="F87" s="7">
        <f t="shared" si="18"/>
        <v>35</v>
      </c>
      <c r="G87" s="7">
        <f t="shared" si="31"/>
        <v>37</v>
      </c>
      <c r="H87" s="7">
        <f>VLOOKUP("l" &amp; H$3 &amp; TEXT(DataLog[[#This Row],[Time]],"yyyymmddhhmmss"),DataTable!$A:$B,2,FALSE)</f>
        <v>35.200000762939453</v>
      </c>
      <c r="I87" s="7">
        <f t="shared" si="19"/>
        <v>34</v>
      </c>
      <c r="J87" s="7">
        <f t="shared" si="20"/>
        <v>36</v>
      </c>
      <c r="K87" s="7">
        <f>VLOOKUP("l" &amp; K$3 &amp; TEXT(DataLog[[#This Row],[Time]],"yyyymmddhhmmss"),DataTable!$A:$B,2,FALSE)</f>
        <v>29.799999237060547</v>
      </c>
      <c r="L87" s="7">
        <f t="shared" si="21"/>
        <v>29</v>
      </c>
      <c r="M87" s="7">
        <f t="shared" si="22"/>
        <v>31</v>
      </c>
      <c r="N87" s="7">
        <f>VLOOKUP("l" &amp; N$3 &amp; TEXT(DataLog[[#This Row],[Time]],"yyyymmddhhmmss"),DataTable!$A:$B,2,FALSE)</f>
        <v>24.399999618530273</v>
      </c>
      <c r="O87" s="7">
        <f t="shared" si="23"/>
        <v>24</v>
      </c>
      <c r="P87" s="7">
        <f t="shared" si="24"/>
        <v>26</v>
      </c>
      <c r="Q87" s="7">
        <f>VLOOKUP("l" &amp; Q$3 &amp; TEXT(DataLog[[#This Row],[Time]],"yyyymmddhhmmss"),DataTable!$A:$B,2,FALSE)</f>
        <v>36.900001525878906</v>
      </c>
      <c r="R87" s="7">
        <f t="shared" si="25"/>
        <v>36</v>
      </c>
      <c r="S87" s="7">
        <f t="shared" si="26"/>
        <v>38</v>
      </c>
      <c r="T87" s="7">
        <f>VLOOKUP("l" &amp; T$3 &amp; TEXT(DataLog[[#This Row],[Time]],"yyyymmddhhmmss"),DataTable!$A:$B,2,FALSE)</f>
        <v>29.799999237060547</v>
      </c>
      <c r="U87" s="7">
        <f t="shared" si="27"/>
        <v>29</v>
      </c>
      <c r="V87" s="7">
        <f t="shared" si="28"/>
        <v>31</v>
      </c>
    </row>
    <row r="88" spans="1:22" x14ac:dyDescent="0.25">
      <c r="A88" s="4">
        <f t="shared" si="29"/>
        <v>44687.114583333132</v>
      </c>
      <c r="B88" s="7">
        <f>VLOOKUP("l" &amp; B$3 &amp; TEXT(DataLog[[#This Row],[Time]],"yyyymmddhhmmss"),DataTable!$A:$B,2,FALSE)</f>
        <v>37.299999237060547</v>
      </c>
      <c r="C88" s="7">
        <f t="shared" si="17"/>
        <v>36</v>
      </c>
      <c r="D88" s="7">
        <f t="shared" si="30"/>
        <v>38</v>
      </c>
      <c r="E88" s="7">
        <f>VLOOKUP("l" &amp; E$3 &amp; TEXT(DataLog[[#This Row],[Time]],"yyyymmddhhmmss"),DataTable!$A:$B,2,FALSE)</f>
        <v>36.400001525878906</v>
      </c>
      <c r="F88" s="7">
        <f t="shared" si="18"/>
        <v>35</v>
      </c>
      <c r="G88" s="7">
        <f t="shared" si="31"/>
        <v>37</v>
      </c>
      <c r="H88" s="7">
        <f>VLOOKUP("l" &amp; H$3 &amp; TEXT(DataLog[[#This Row],[Time]],"yyyymmddhhmmss"),DataTable!$A:$B,2,FALSE)</f>
        <v>35.400001525878906</v>
      </c>
      <c r="I88" s="7">
        <f t="shared" si="19"/>
        <v>34</v>
      </c>
      <c r="J88" s="7">
        <f t="shared" si="20"/>
        <v>36</v>
      </c>
      <c r="K88" s="7">
        <f>VLOOKUP("l" &amp; K$3 &amp; TEXT(DataLog[[#This Row],[Time]],"yyyymmddhhmmss"),DataTable!$A:$B,2,FALSE)</f>
        <v>29.600000381469727</v>
      </c>
      <c r="L88" s="7">
        <f t="shared" si="21"/>
        <v>29</v>
      </c>
      <c r="M88" s="7">
        <f t="shared" si="22"/>
        <v>31</v>
      </c>
      <c r="N88" s="7">
        <f>VLOOKUP("l" &amp; N$3 &amp; TEXT(DataLog[[#This Row],[Time]],"yyyymmddhhmmss"),DataTable!$A:$B,2,FALSE)</f>
        <v>25</v>
      </c>
      <c r="O88" s="7">
        <f t="shared" si="23"/>
        <v>24</v>
      </c>
      <c r="P88" s="7">
        <f t="shared" si="24"/>
        <v>26</v>
      </c>
      <c r="Q88" s="7">
        <f>VLOOKUP("l" &amp; Q$3 &amp; TEXT(DataLog[[#This Row],[Time]],"yyyymmddhhmmss"),DataTable!$A:$B,2,FALSE)</f>
        <v>36.900001525878906</v>
      </c>
      <c r="R88" s="7">
        <f t="shared" si="25"/>
        <v>36</v>
      </c>
      <c r="S88" s="7">
        <f t="shared" si="26"/>
        <v>38</v>
      </c>
      <c r="T88" s="7">
        <f>VLOOKUP("l" &amp; T$3 &amp; TEXT(DataLog[[#This Row],[Time]],"yyyymmddhhmmss"),DataTable!$A:$B,2,FALSE)</f>
        <v>30</v>
      </c>
      <c r="U88" s="7">
        <f t="shared" si="27"/>
        <v>29</v>
      </c>
      <c r="V88" s="7">
        <f t="shared" si="28"/>
        <v>31</v>
      </c>
    </row>
    <row r="89" spans="1:22" x14ac:dyDescent="0.25">
      <c r="A89" s="4">
        <f t="shared" si="29"/>
        <v>44687.124999999796</v>
      </c>
      <c r="B89" s="7">
        <f>VLOOKUP("l" &amp; B$3 &amp; TEXT(DataLog[[#This Row],[Time]],"yyyymmddhhmmss"),DataTable!$A:$B,2,FALSE)</f>
        <v>37.700000762939453</v>
      </c>
      <c r="C89" s="7">
        <f t="shared" si="17"/>
        <v>36</v>
      </c>
      <c r="D89" s="7">
        <f t="shared" si="30"/>
        <v>38</v>
      </c>
      <c r="E89" s="7">
        <f>VLOOKUP("l" &amp; E$3 &amp; TEXT(DataLog[[#This Row],[Time]],"yyyymmddhhmmss"),DataTable!$A:$B,2,FALSE)</f>
        <v>36</v>
      </c>
      <c r="F89" s="7">
        <f t="shared" si="18"/>
        <v>35</v>
      </c>
      <c r="G89" s="7">
        <f t="shared" si="31"/>
        <v>37</v>
      </c>
      <c r="H89" s="7">
        <f>VLOOKUP("l" &amp; H$3 &amp; TEXT(DataLog[[#This Row],[Time]],"yyyymmddhhmmss"),DataTable!$A:$B,2,FALSE)</f>
        <v>35.200000762939453</v>
      </c>
      <c r="I89" s="7">
        <f t="shared" si="19"/>
        <v>34</v>
      </c>
      <c r="J89" s="7">
        <f t="shared" si="20"/>
        <v>36</v>
      </c>
      <c r="K89" s="7">
        <f>VLOOKUP("l" &amp; K$3 &amp; TEXT(DataLog[[#This Row],[Time]],"yyyymmddhhmmss"),DataTable!$A:$B,2,FALSE)</f>
        <v>29.600000381469727</v>
      </c>
      <c r="L89" s="7">
        <f t="shared" si="21"/>
        <v>29</v>
      </c>
      <c r="M89" s="7">
        <f t="shared" si="22"/>
        <v>31</v>
      </c>
      <c r="N89" s="7">
        <f>VLOOKUP("l" &amp; N$3 &amp; TEXT(DataLog[[#This Row],[Time]],"yyyymmddhhmmss"),DataTable!$A:$B,2,FALSE)</f>
        <v>25.200000762939453</v>
      </c>
      <c r="O89" s="7">
        <f t="shared" si="23"/>
        <v>24</v>
      </c>
      <c r="P89" s="7">
        <f t="shared" si="24"/>
        <v>26</v>
      </c>
      <c r="Q89" s="7">
        <f>VLOOKUP("l" &amp; Q$3 &amp; TEXT(DataLog[[#This Row],[Time]],"yyyymmddhhmmss"),DataTable!$A:$B,2,FALSE)</f>
        <v>36.900001525878906</v>
      </c>
      <c r="R89" s="7">
        <f t="shared" si="25"/>
        <v>36</v>
      </c>
      <c r="S89" s="7">
        <f t="shared" si="26"/>
        <v>38</v>
      </c>
      <c r="T89" s="7">
        <f>VLOOKUP("l" &amp; T$3 &amp; TEXT(DataLog[[#This Row],[Time]],"yyyymmddhhmmss"),DataTable!$A:$B,2,FALSE)</f>
        <v>30.399999618530273</v>
      </c>
      <c r="U89" s="7">
        <f t="shared" si="27"/>
        <v>29</v>
      </c>
      <c r="V89" s="7">
        <f t="shared" si="28"/>
        <v>31</v>
      </c>
    </row>
    <row r="90" spans="1:22" x14ac:dyDescent="0.25">
      <c r="A90" s="4">
        <f t="shared" si="29"/>
        <v>44687.135416666461</v>
      </c>
      <c r="B90" s="7">
        <f>VLOOKUP("l" &amp; B$3 &amp; TEXT(DataLog[[#This Row],[Time]],"yyyymmddhhmmss"),DataTable!$A:$B,2,FALSE)</f>
        <v>37.299999237060547</v>
      </c>
      <c r="C90" s="7">
        <f t="shared" si="17"/>
        <v>36</v>
      </c>
      <c r="D90" s="7">
        <f t="shared" si="30"/>
        <v>38</v>
      </c>
      <c r="E90" s="7">
        <f>VLOOKUP("l" &amp; E$3 &amp; TEXT(DataLog[[#This Row],[Time]],"yyyymmddhhmmss"),DataTable!$A:$B,2,FALSE)</f>
        <v>36</v>
      </c>
      <c r="F90" s="7">
        <f t="shared" si="18"/>
        <v>35</v>
      </c>
      <c r="G90" s="7">
        <f t="shared" si="31"/>
        <v>37</v>
      </c>
      <c r="H90" s="7">
        <f>VLOOKUP("l" &amp; H$3 &amp; TEXT(DataLog[[#This Row],[Time]],"yyyymmddhhmmss"),DataTable!$A:$B,2,FALSE)</f>
        <v>34.799999237060547</v>
      </c>
      <c r="I90" s="7">
        <f t="shared" si="19"/>
        <v>34</v>
      </c>
      <c r="J90" s="7">
        <f t="shared" si="20"/>
        <v>36</v>
      </c>
      <c r="K90" s="7">
        <f>VLOOKUP("l" &amp; K$3 &amp; TEXT(DataLog[[#This Row],[Time]],"yyyymmddhhmmss"),DataTable!$A:$B,2,FALSE)</f>
        <v>29.799999237060547</v>
      </c>
      <c r="L90" s="7">
        <f t="shared" si="21"/>
        <v>29</v>
      </c>
      <c r="M90" s="7">
        <f t="shared" si="22"/>
        <v>31</v>
      </c>
      <c r="N90" s="7">
        <f>VLOOKUP("l" &amp; N$3 &amp; TEXT(DataLog[[#This Row],[Time]],"yyyymmddhhmmss"),DataTable!$A:$B,2,FALSE)</f>
        <v>25.200000762939453</v>
      </c>
      <c r="O90" s="7">
        <f t="shared" si="23"/>
        <v>24</v>
      </c>
      <c r="P90" s="7">
        <f t="shared" si="24"/>
        <v>26</v>
      </c>
      <c r="Q90" s="7">
        <f>VLOOKUP("l" &amp; Q$3 &amp; TEXT(DataLog[[#This Row],[Time]],"yyyymmddhhmmss"),DataTable!$A:$B,2,FALSE)</f>
        <v>36.900001525878906</v>
      </c>
      <c r="R90" s="7">
        <f t="shared" si="25"/>
        <v>36</v>
      </c>
      <c r="S90" s="7">
        <f t="shared" si="26"/>
        <v>38</v>
      </c>
      <c r="T90" s="7">
        <f>VLOOKUP("l" &amp; T$3 &amp; TEXT(DataLog[[#This Row],[Time]],"yyyymmddhhmmss"),DataTable!$A:$B,2,FALSE)</f>
        <v>30.399999618530273</v>
      </c>
      <c r="U90" s="7">
        <f t="shared" si="27"/>
        <v>29</v>
      </c>
      <c r="V90" s="7">
        <f t="shared" si="28"/>
        <v>31</v>
      </c>
    </row>
    <row r="91" spans="1:22" x14ac:dyDescent="0.25">
      <c r="A91" s="4">
        <f t="shared" si="29"/>
        <v>44687.145833333125</v>
      </c>
      <c r="B91" s="7">
        <f>VLOOKUP("l" &amp; B$3 &amp; TEXT(DataLog[[#This Row],[Time]],"yyyymmddhhmmss"),DataTable!$A:$B,2,FALSE)</f>
        <v>37.5</v>
      </c>
      <c r="C91" s="7">
        <f t="shared" si="17"/>
        <v>36</v>
      </c>
      <c r="D91" s="7">
        <f t="shared" si="30"/>
        <v>38</v>
      </c>
      <c r="E91" s="7">
        <f>VLOOKUP("l" &amp; E$3 &amp; TEXT(DataLog[[#This Row],[Time]],"yyyymmddhhmmss"),DataTable!$A:$B,2,FALSE)</f>
        <v>36.400001525878906</v>
      </c>
      <c r="F91" s="7">
        <f t="shared" si="18"/>
        <v>35</v>
      </c>
      <c r="G91" s="7">
        <f t="shared" si="31"/>
        <v>37</v>
      </c>
      <c r="H91" s="7">
        <f>VLOOKUP("l" &amp; H$3 &amp; TEXT(DataLog[[#This Row],[Time]],"yyyymmddhhmmss"),DataTable!$A:$B,2,FALSE)</f>
        <v>35.200000762939453</v>
      </c>
      <c r="I91" s="7">
        <f t="shared" si="19"/>
        <v>34</v>
      </c>
      <c r="J91" s="7">
        <f t="shared" si="20"/>
        <v>36</v>
      </c>
      <c r="K91" s="7">
        <f>VLOOKUP("l" &amp; K$3 &amp; TEXT(DataLog[[#This Row],[Time]],"yyyymmddhhmmss"),DataTable!$A:$B,2,FALSE)</f>
        <v>29.600000381469727</v>
      </c>
      <c r="L91" s="7">
        <f t="shared" si="21"/>
        <v>29</v>
      </c>
      <c r="M91" s="7">
        <f t="shared" si="22"/>
        <v>31</v>
      </c>
      <c r="N91" s="7">
        <f>VLOOKUP("l" &amp; N$3 &amp; TEXT(DataLog[[#This Row],[Time]],"yyyymmddhhmmss"),DataTable!$A:$B,2,FALSE)</f>
        <v>25</v>
      </c>
      <c r="O91" s="7">
        <f t="shared" si="23"/>
        <v>24</v>
      </c>
      <c r="P91" s="7">
        <f t="shared" si="24"/>
        <v>26</v>
      </c>
      <c r="Q91" s="7">
        <f>VLOOKUP("l" &amp; Q$3 &amp; TEXT(DataLog[[#This Row],[Time]],"yyyymmddhhmmss"),DataTable!$A:$B,2,FALSE)</f>
        <v>36.900001525878906</v>
      </c>
      <c r="R91" s="7">
        <f t="shared" si="25"/>
        <v>36</v>
      </c>
      <c r="S91" s="7">
        <f t="shared" si="26"/>
        <v>38</v>
      </c>
      <c r="T91" s="7">
        <f>VLOOKUP("l" &amp; T$3 &amp; TEXT(DataLog[[#This Row],[Time]],"yyyymmddhhmmss"),DataTable!$A:$B,2,FALSE)</f>
        <v>30.200000762939453</v>
      </c>
      <c r="U91" s="7">
        <f t="shared" si="27"/>
        <v>29</v>
      </c>
      <c r="V91" s="7">
        <f t="shared" si="28"/>
        <v>31</v>
      </c>
    </row>
    <row r="92" spans="1:22" x14ac:dyDescent="0.25">
      <c r="A92" s="4">
        <f t="shared" si="29"/>
        <v>44687.156249999789</v>
      </c>
      <c r="B92" s="7">
        <f>VLOOKUP("l" &amp; B$3 &amp; TEXT(DataLog[[#This Row],[Time]],"yyyymmddhhmmss"),DataTable!$A:$B,2,FALSE)</f>
        <v>37.5</v>
      </c>
      <c r="C92" s="7">
        <f t="shared" si="17"/>
        <v>36</v>
      </c>
      <c r="D92" s="7">
        <f t="shared" si="30"/>
        <v>38</v>
      </c>
      <c r="E92" s="7">
        <f>VLOOKUP("l" &amp; E$3 &amp; TEXT(DataLog[[#This Row],[Time]],"yyyymmddhhmmss"),DataTable!$A:$B,2,FALSE)</f>
        <v>36.200000762939453</v>
      </c>
      <c r="F92" s="7">
        <f t="shared" si="18"/>
        <v>35</v>
      </c>
      <c r="G92" s="7">
        <f t="shared" si="31"/>
        <v>37</v>
      </c>
      <c r="H92" s="7">
        <f>VLOOKUP("l" &amp; H$3 &amp; TEXT(DataLog[[#This Row],[Time]],"yyyymmddhhmmss"),DataTable!$A:$B,2,FALSE)</f>
        <v>35.400001525878906</v>
      </c>
      <c r="I92" s="7">
        <f t="shared" si="19"/>
        <v>34</v>
      </c>
      <c r="J92" s="7">
        <f t="shared" si="20"/>
        <v>36</v>
      </c>
      <c r="K92" s="7">
        <f>VLOOKUP("l" &amp; K$3 &amp; TEXT(DataLog[[#This Row],[Time]],"yyyymmddhhmmss"),DataTable!$A:$B,2,FALSE)</f>
        <v>29.600000381469727</v>
      </c>
      <c r="L92" s="7">
        <f t="shared" si="21"/>
        <v>29</v>
      </c>
      <c r="M92" s="7">
        <f t="shared" si="22"/>
        <v>31</v>
      </c>
      <c r="N92" s="7">
        <f>VLOOKUP("l" &amp; N$3 &amp; TEXT(DataLog[[#This Row],[Time]],"yyyymmddhhmmss"),DataTable!$A:$B,2,FALSE)</f>
        <v>24.799999237060547</v>
      </c>
      <c r="O92" s="7">
        <f t="shared" si="23"/>
        <v>24</v>
      </c>
      <c r="P92" s="7">
        <f t="shared" si="24"/>
        <v>26</v>
      </c>
      <c r="Q92" s="7">
        <f>VLOOKUP("l" &amp; Q$3 &amp; TEXT(DataLog[[#This Row],[Time]],"yyyymmddhhmmss"),DataTable!$A:$B,2,FALSE)</f>
        <v>36.900001525878906</v>
      </c>
      <c r="R92" s="7">
        <f t="shared" si="25"/>
        <v>36</v>
      </c>
      <c r="S92" s="7">
        <f t="shared" si="26"/>
        <v>38</v>
      </c>
      <c r="T92" s="7">
        <f>VLOOKUP("l" &amp; T$3 &amp; TEXT(DataLog[[#This Row],[Time]],"yyyymmddhhmmss"),DataTable!$A:$B,2,FALSE)</f>
        <v>30</v>
      </c>
      <c r="U92" s="7">
        <f t="shared" si="27"/>
        <v>29</v>
      </c>
      <c r="V92" s="7">
        <f t="shared" si="28"/>
        <v>31</v>
      </c>
    </row>
    <row r="93" spans="1:22" x14ac:dyDescent="0.25">
      <c r="A93" s="4">
        <f t="shared" si="29"/>
        <v>44687.166666666453</v>
      </c>
      <c r="B93" s="7">
        <f>VLOOKUP("l" &amp; B$3 &amp; TEXT(DataLog[[#This Row],[Time]],"yyyymmddhhmmss"),DataTable!$A:$B,2,FALSE)</f>
        <v>37.5</v>
      </c>
      <c r="C93" s="7">
        <f t="shared" si="17"/>
        <v>36</v>
      </c>
      <c r="D93" s="7">
        <f t="shared" si="30"/>
        <v>38</v>
      </c>
      <c r="E93" s="7">
        <f>VLOOKUP("l" &amp; E$3 &amp; TEXT(DataLog[[#This Row],[Time]],"yyyymmddhhmmss"),DataTable!$A:$B,2,FALSE)</f>
        <v>35.799999237060547</v>
      </c>
      <c r="F93" s="7">
        <f t="shared" si="18"/>
        <v>35</v>
      </c>
      <c r="G93" s="7">
        <f t="shared" si="31"/>
        <v>37</v>
      </c>
      <c r="H93" s="7">
        <f>VLOOKUP("l" &amp; H$3 &amp; TEXT(DataLog[[#This Row],[Time]],"yyyymmddhhmmss"),DataTable!$A:$B,2,FALSE)</f>
        <v>35.200000762939453</v>
      </c>
      <c r="I93" s="7">
        <f t="shared" si="19"/>
        <v>34</v>
      </c>
      <c r="J93" s="7">
        <f t="shared" si="20"/>
        <v>36</v>
      </c>
      <c r="K93" s="7">
        <f>VLOOKUP("l" &amp; K$3 &amp; TEXT(DataLog[[#This Row],[Time]],"yyyymmddhhmmss"),DataTable!$A:$B,2,FALSE)</f>
        <v>29.600000381469727</v>
      </c>
      <c r="L93" s="7">
        <f t="shared" si="21"/>
        <v>29</v>
      </c>
      <c r="M93" s="7">
        <f t="shared" si="22"/>
        <v>31</v>
      </c>
      <c r="N93" s="7">
        <f>VLOOKUP("l" &amp; N$3 &amp; TEXT(DataLog[[#This Row],[Time]],"yyyymmddhhmmss"),DataTable!$A:$B,2,FALSE)</f>
        <v>24.600000381469727</v>
      </c>
      <c r="O93" s="7">
        <f t="shared" si="23"/>
        <v>24</v>
      </c>
      <c r="P93" s="7">
        <f t="shared" si="24"/>
        <v>26</v>
      </c>
      <c r="Q93" s="7">
        <f>VLOOKUP("l" &amp; Q$3 &amp; TEXT(DataLog[[#This Row],[Time]],"yyyymmddhhmmss"),DataTable!$A:$B,2,FALSE)</f>
        <v>36.900001525878906</v>
      </c>
      <c r="R93" s="7">
        <f t="shared" si="25"/>
        <v>36</v>
      </c>
      <c r="S93" s="7">
        <f t="shared" si="26"/>
        <v>38</v>
      </c>
      <c r="T93" s="7">
        <f>VLOOKUP("l" &amp; T$3 &amp; TEXT(DataLog[[#This Row],[Time]],"yyyymmddhhmmss"),DataTable!$A:$B,2,FALSE)</f>
        <v>29.799999237060547</v>
      </c>
      <c r="U93" s="7">
        <f t="shared" si="27"/>
        <v>29</v>
      </c>
      <c r="V93" s="7">
        <f t="shared" si="28"/>
        <v>31</v>
      </c>
    </row>
    <row r="94" spans="1:22" x14ac:dyDescent="0.25">
      <c r="A94" s="4">
        <f t="shared" si="29"/>
        <v>44687.177083333117</v>
      </c>
      <c r="B94" s="7">
        <f>VLOOKUP("l" &amp; B$3 &amp; TEXT(DataLog[[#This Row],[Time]],"yyyymmddhhmmss"),DataTable!$A:$B,2,FALSE)</f>
        <v>37.5</v>
      </c>
      <c r="C94" s="7">
        <f t="shared" si="17"/>
        <v>36</v>
      </c>
      <c r="D94" s="7">
        <f t="shared" si="30"/>
        <v>38</v>
      </c>
      <c r="E94" s="7">
        <f>VLOOKUP("l" &amp; E$3 &amp; TEXT(DataLog[[#This Row],[Time]],"yyyymmddhhmmss"),DataTable!$A:$B,2,FALSE)</f>
        <v>36.200000762939453</v>
      </c>
      <c r="F94" s="7">
        <f t="shared" si="18"/>
        <v>35</v>
      </c>
      <c r="G94" s="7">
        <f t="shared" si="31"/>
        <v>37</v>
      </c>
      <c r="H94" s="7">
        <f>VLOOKUP("l" &amp; H$3 &amp; TEXT(DataLog[[#This Row],[Time]],"yyyymmddhhmmss"),DataTable!$A:$B,2,FALSE)</f>
        <v>34.799999237060547</v>
      </c>
      <c r="I94" s="7">
        <f t="shared" si="19"/>
        <v>34</v>
      </c>
      <c r="J94" s="7">
        <f t="shared" si="20"/>
        <v>36</v>
      </c>
      <c r="K94" s="7">
        <f>VLOOKUP("l" &amp; K$3 &amp; TEXT(DataLog[[#This Row],[Time]],"yyyymmddhhmmss"),DataTable!$A:$B,2,FALSE)</f>
        <v>29.600000381469727</v>
      </c>
      <c r="L94" s="7">
        <f t="shared" si="21"/>
        <v>29</v>
      </c>
      <c r="M94" s="7">
        <f t="shared" si="22"/>
        <v>31</v>
      </c>
      <c r="N94" s="7">
        <f>VLOOKUP("l" &amp; N$3 &amp; TEXT(DataLog[[#This Row],[Time]],"yyyymmddhhmmss"),DataTable!$A:$B,2,FALSE)</f>
        <v>24.399999618530273</v>
      </c>
      <c r="O94" s="7">
        <f t="shared" si="23"/>
        <v>24</v>
      </c>
      <c r="P94" s="7">
        <f t="shared" si="24"/>
        <v>26</v>
      </c>
      <c r="Q94" s="7">
        <f>VLOOKUP("l" &amp; Q$3 &amp; TEXT(DataLog[[#This Row],[Time]],"yyyymmddhhmmss"),DataTable!$A:$B,2,FALSE)</f>
        <v>36.700000762939453</v>
      </c>
      <c r="R94" s="7">
        <f t="shared" si="25"/>
        <v>36</v>
      </c>
      <c r="S94" s="7">
        <f t="shared" si="26"/>
        <v>38</v>
      </c>
      <c r="T94" s="7">
        <f>VLOOKUP("l" &amp; T$3 &amp; TEXT(DataLog[[#This Row],[Time]],"yyyymmddhhmmss"),DataTable!$A:$B,2,FALSE)</f>
        <v>30</v>
      </c>
      <c r="U94" s="7">
        <f t="shared" si="27"/>
        <v>29</v>
      </c>
      <c r="V94" s="7">
        <f t="shared" si="28"/>
        <v>31</v>
      </c>
    </row>
    <row r="95" spans="1:22" x14ac:dyDescent="0.25">
      <c r="A95" s="4">
        <f t="shared" si="29"/>
        <v>44687.187499999782</v>
      </c>
      <c r="B95" s="7">
        <f>VLOOKUP("l" &amp; B$3 &amp; TEXT(DataLog[[#This Row],[Time]],"yyyymmddhhmmss"),DataTable!$A:$B,2,FALSE)</f>
        <v>37.5</v>
      </c>
      <c r="C95" s="7">
        <f t="shared" si="17"/>
        <v>36</v>
      </c>
      <c r="D95" s="7">
        <f t="shared" si="30"/>
        <v>38</v>
      </c>
      <c r="E95" s="7">
        <f>VLOOKUP("l" &amp; E$3 &amp; TEXT(DataLog[[#This Row],[Time]],"yyyymmddhhmmss"),DataTable!$A:$B,2,FALSE)</f>
        <v>36.400001525878906</v>
      </c>
      <c r="F95" s="7">
        <f t="shared" si="18"/>
        <v>35</v>
      </c>
      <c r="G95" s="7">
        <f t="shared" si="31"/>
        <v>37</v>
      </c>
      <c r="H95" s="7">
        <f>VLOOKUP("l" &amp; H$3 &amp; TEXT(DataLog[[#This Row],[Time]],"yyyymmddhhmmss"),DataTable!$A:$B,2,FALSE)</f>
        <v>35</v>
      </c>
      <c r="I95" s="7">
        <f t="shared" si="19"/>
        <v>34</v>
      </c>
      <c r="J95" s="7">
        <f t="shared" si="20"/>
        <v>36</v>
      </c>
      <c r="K95" s="7">
        <f>VLOOKUP("l" &amp; K$3 &amp; TEXT(DataLog[[#This Row],[Time]],"yyyymmddhhmmss"),DataTable!$A:$B,2,FALSE)</f>
        <v>29.799999237060547</v>
      </c>
      <c r="L95" s="7">
        <f t="shared" si="21"/>
        <v>29</v>
      </c>
      <c r="M95" s="7">
        <f t="shared" si="22"/>
        <v>31</v>
      </c>
      <c r="N95" s="7">
        <f>VLOOKUP("l" &amp; N$3 &amp; TEXT(DataLog[[#This Row],[Time]],"yyyymmddhhmmss"),DataTable!$A:$B,2,FALSE)</f>
        <v>25</v>
      </c>
      <c r="O95" s="7">
        <f t="shared" si="23"/>
        <v>24</v>
      </c>
      <c r="P95" s="7">
        <f t="shared" si="24"/>
        <v>26</v>
      </c>
      <c r="Q95" s="7">
        <f>VLOOKUP("l" &amp; Q$3 &amp; TEXT(DataLog[[#This Row],[Time]],"yyyymmddhhmmss"),DataTable!$A:$B,2,FALSE)</f>
        <v>36.700000762939453</v>
      </c>
      <c r="R95" s="7">
        <f t="shared" si="25"/>
        <v>36</v>
      </c>
      <c r="S95" s="7">
        <f t="shared" si="26"/>
        <v>38</v>
      </c>
      <c r="T95" s="7">
        <f>VLOOKUP("l" &amp; T$3 &amp; TEXT(DataLog[[#This Row],[Time]],"yyyymmddhhmmss"),DataTable!$A:$B,2,FALSE)</f>
        <v>30.399999618530273</v>
      </c>
      <c r="U95" s="7">
        <f t="shared" si="27"/>
        <v>29</v>
      </c>
      <c r="V95" s="7">
        <f t="shared" si="28"/>
        <v>31</v>
      </c>
    </row>
    <row r="96" spans="1:22" x14ac:dyDescent="0.25">
      <c r="A96" s="4">
        <f t="shared" si="29"/>
        <v>44687.197916666446</v>
      </c>
      <c r="B96" s="7">
        <f>VLOOKUP("l" &amp; B$3 &amp; TEXT(DataLog[[#This Row],[Time]],"yyyymmddhhmmss"),DataTable!$A:$B,2,FALSE)</f>
        <v>37.5</v>
      </c>
      <c r="C96" s="7">
        <f t="shared" si="17"/>
        <v>36</v>
      </c>
      <c r="D96" s="7">
        <f t="shared" si="30"/>
        <v>38</v>
      </c>
      <c r="E96" s="7">
        <f>VLOOKUP("l" &amp; E$3 &amp; TEXT(DataLog[[#This Row],[Time]],"yyyymmddhhmmss"),DataTable!$A:$B,2,FALSE)</f>
        <v>36.200000762939453</v>
      </c>
      <c r="F96" s="7">
        <f t="shared" si="18"/>
        <v>35</v>
      </c>
      <c r="G96" s="7">
        <f t="shared" si="31"/>
        <v>37</v>
      </c>
      <c r="H96" s="7">
        <f>VLOOKUP("l" &amp; H$3 &amp; TEXT(DataLog[[#This Row],[Time]],"yyyymmddhhmmss"),DataTable!$A:$B,2,FALSE)</f>
        <v>35.400001525878906</v>
      </c>
      <c r="I96" s="7">
        <f t="shared" si="19"/>
        <v>34</v>
      </c>
      <c r="J96" s="7">
        <f t="shared" si="20"/>
        <v>36</v>
      </c>
      <c r="K96" s="7">
        <f>VLOOKUP("l" &amp; K$3 &amp; TEXT(DataLog[[#This Row],[Time]],"yyyymmddhhmmss"),DataTable!$A:$B,2,FALSE)</f>
        <v>29.600000381469727</v>
      </c>
      <c r="L96" s="7">
        <f t="shared" si="21"/>
        <v>29</v>
      </c>
      <c r="M96" s="7">
        <f t="shared" si="22"/>
        <v>31</v>
      </c>
      <c r="N96" s="7">
        <f>VLOOKUP("l" &amp; N$3 &amp; TEXT(DataLog[[#This Row],[Time]],"yyyymmddhhmmss"),DataTable!$A:$B,2,FALSE)</f>
        <v>25.200000762939453</v>
      </c>
      <c r="O96" s="7">
        <f t="shared" si="23"/>
        <v>24</v>
      </c>
      <c r="P96" s="7">
        <f t="shared" si="24"/>
        <v>26</v>
      </c>
      <c r="Q96" s="7">
        <f>VLOOKUP("l" &amp; Q$3 &amp; TEXT(DataLog[[#This Row],[Time]],"yyyymmddhhmmss"),DataTable!$A:$B,2,FALSE)</f>
        <v>36.900001525878906</v>
      </c>
      <c r="R96" s="7">
        <f t="shared" si="25"/>
        <v>36</v>
      </c>
      <c r="S96" s="7">
        <f t="shared" si="26"/>
        <v>38</v>
      </c>
      <c r="T96" s="7">
        <f>VLOOKUP("l" &amp; T$3 &amp; TEXT(DataLog[[#This Row],[Time]],"yyyymmddhhmmss"),DataTable!$A:$B,2,FALSE)</f>
        <v>30.399999618530273</v>
      </c>
      <c r="U96" s="7">
        <f t="shared" si="27"/>
        <v>29</v>
      </c>
      <c r="V96" s="7">
        <f t="shared" si="28"/>
        <v>31</v>
      </c>
    </row>
    <row r="97" spans="1:22" x14ac:dyDescent="0.25">
      <c r="A97" s="4">
        <f t="shared" si="29"/>
        <v>44687.20833333311</v>
      </c>
      <c r="B97" s="7">
        <f>VLOOKUP("l" &amp; B$3 &amp; TEXT(DataLog[[#This Row],[Time]],"yyyymmddhhmmss"),DataTable!$A:$B,2,FALSE)</f>
        <v>37.299999237060547</v>
      </c>
      <c r="C97" s="7">
        <f t="shared" si="17"/>
        <v>36</v>
      </c>
      <c r="D97" s="7">
        <f t="shared" si="30"/>
        <v>38</v>
      </c>
      <c r="E97" s="7">
        <f>VLOOKUP("l" &amp; E$3 &amp; TEXT(DataLog[[#This Row],[Time]],"yyyymmddhhmmss"),DataTable!$A:$B,2,FALSE)</f>
        <v>35.599998474121094</v>
      </c>
      <c r="F97" s="7">
        <f t="shared" si="18"/>
        <v>35</v>
      </c>
      <c r="G97" s="7">
        <f t="shared" si="31"/>
        <v>37</v>
      </c>
      <c r="H97" s="7">
        <f>VLOOKUP("l" &amp; H$3 &amp; TEXT(DataLog[[#This Row],[Time]],"yyyymmddhhmmss"),DataTable!$A:$B,2,FALSE)</f>
        <v>35.200000762939453</v>
      </c>
      <c r="I97" s="7">
        <f t="shared" si="19"/>
        <v>34</v>
      </c>
      <c r="J97" s="7">
        <f t="shared" si="20"/>
        <v>36</v>
      </c>
      <c r="K97" s="7">
        <f>VLOOKUP("l" &amp; K$3 &amp; TEXT(DataLog[[#This Row],[Time]],"yyyymmddhhmmss"),DataTable!$A:$B,2,FALSE)</f>
        <v>29.600000381469727</v>
      </c>
      <c r="L97" s="7">
        <f t="shared" si="21"/>
        <v>29</v>
      </c>
      <c r="M97" s="7">
        <f t="shared" si="22"/>
        <v>31</v>
      </c>
      <c r="N97" s="7">
        <f>VLOOKUP("l" &amp; N$3 &amp; TEXT(DataLog[[#This Row],[Time]],"yyyymmddhhmmss"),DataTable!$A:$B,2,FALSE)</f>
        <v>25</v>
      </c>
      <c r="O97" s="7">
        <f t="shared" si="23"/>
        <v>24</v>
      </c>
      <c r="P97" s="7">
        <f t="shared" si="24"/>
        <v>26</v>
      </c>
      <c r="Q97" s="7">
        <f>VLOOKUP("l" &amp; Q$3 &amp; TEXT(DataLog[[#This Row],[Time]],"yyyymmddhhmmss"),DataTable!$A:$B,2,FALSE)</f>
        <v>36.900001525878906</v>
      </c>
      <c r="R97" s="7">
        <f t="shared" si="25"/>
        <v>36</v>
      </c>
      <c r="S97" s="7">
        <f t="shared" si="26"/>
        <v>38</v>
      </c>
      <c r="T97" s="7">
        <f>VLOOKUP("l" &amp; T$3 &amp; TEXT(DataLog[[#This Row],[Time]],"yyyymmddhhmmss"),DataTable!$A:$B,2,FALSE)</f>
        <v>30.200000762939453</v>
      </c>
      <c r="U97" s="7">
        <f t="shared" si="27"/>
        <v>29</v>
      </c>
      <c r="V97" s="7">
        <f t="shared" si="28"/>
        <v>31</v>
      </c>
    </row>
    <row r="98" spans="1:22" x14ac:dyDescent="0.25">
      <c r="A98" s="4">
        <f t="shared" si="29"/>
        <v>44687.218749999774</v>
      </c>
      <c r="B98" s="7">
        <f>VLOOKUP("l" &amp; B$3 &amp; TEXT(DataLog[[#This Row],[Time]],"yyyymmddhhmmss"),DataTable!$A:$B,2,FALSE)</f>
        <v>37.5</v>
      </c>
      <c r="C98" s="7">
        <f t="shared" si="17"/>
        <v>36</v>
      </c>
      <c r="D98" s="7">
        <f t="shared" si="30"/>
        <v>38</v>
      </c>
      <c r="E98" s="7">
        <f>VLOOKUP("l" &amp; E$3 &amp; TEXT(DataLog[[#This Row],[Time]],"yyyymmddhhmmss"),DataTable!$A:$B,2,FALSE)</f>
        <v>36.200000762939453</v>
      </c>
      <c r="F98" s="7">
        <f t="shared" si="18"/>
        <v>35</v>
      </c>
      <c r="G98" s="7">
        <f t="shared" si="31"/>
        <v>37</v>
      </c>
      <c r="H98" s="7">
        <f>VLOOKUP("l" &amp; H$3 &amp; TEXT(DataLog[[#This Row],[Time]],"yyyymmddhhmmss"),DataTable!$A:$B,2,FALSE)</f>
        <v>35</v>
      </c>
      <c r="I98" s="7">
        <f t="shared" si="19"/>
        <v>34</v>
      </c>
      <c r="J98" s="7">
        <f t="shared" si="20"/>
        <v>36</v>
      </c>
      <c r="K98" s="7">
        <f>VLOOKUP("l" &amp; K$3 &amp; TEXT(DataLog[[#This Row],[Time]],"yyyymmddhhmmss"),DataTable!$A:$B,2,FALSE)</f>
        <v>29.600000381469727</v>
      </c>
      <c r="L98" s="7">
        <f t="shared" si="21"/>
        <v>29</v>
      </c>
      <c r="M98" s="7">
        <f t="shared" si="22"/>
        <v>31</v>
      </c>
      <c r="N98" s="7">
        <f>VLOOKUP("l" &amp; N$3 &amp; TEXT(DataLog[[#This Row],[Time]],"yyyymmddhhmmss"),DataTable!$A:$B,2,FALSE)</f>
        <v>25</v>
      </c>
      <c r="O98" s="7">
        <f t="shared" si="23"/>
        <v>24</v>
      </c>
      <c r="P98" s="7">
        <f t="shared" si="24"/>
        <v>26</v>
      </c>
      <c r="Q98" s="7">
        <f>VLOOKUP("l" &amp; Q$3 &amp; TEXT(DataLog[[#This Row],[Time]],"yyyymmddhhmmss"),DataTable!$A:$B,2,FALSE)</f>
        <v>37.099998474121094</v>
      </c>
      <c r="R98" s="7">
        <f t="shared" si="25"/>
        <v>36</v>
      </c>
      <c r="S98" s="7">
        <f t="shared" si="26"/>
        <v>38</v>
      </c>
      <c r="T98" s="7">
        <f>VLOOKUP("l" &amp; T$3 &amp; TEXT(DataLog[[#This Row],[Time]],"yyyymmddhhmmss"),DataTable!$A:$B,2,FALSE)</f>
        <v>29.799999237060547</v>
      </c>
      <c r="U98" s="7">
        <f t="shared" si="27"/>
        <v>29</v>
      </c>
      <c r="V98" s="7">
        <f t="shared" si="28"/>
        <v>31</v>
      </c>
    </row>
    <row r="99" spans="1:22" x14ac:dyDescent="0.25">
      <c r="A99" s="4">
        <f t="shared" si="29"/>
        <v>44687.229166666439</v>
      </c>
      <c r="B99" s="7">
        <f>VLOOKUP("l" &amp; B$3 &amp; TEXT(DataLog[[#This Row],[Time]],"yyyymmddhhmmss"),DataTable!$A:$B,2,FALSE)</f>
        <v>37.299999237060547</v>
      </c>
      <c r="C99" s="7">
        <f t="shared" si="17"/>
        <v>36</v>
      </c>
      <c r="D99" s="7">
        <f t="shared" si="30"/>
        <v>38</v>
      </c>
      <c r="E99" s="7">
        <f>VLOOKUP("l" &amp; E$3 &amp; TEXT(DataLog[[#This Row],[Time]],"yyyymmddhhmmss"),DataTable!$A:$B,2,FALSE)</f>
        <v>35.799999237060547</v>
      </c>
      <c r="F99" s="7">
        <f t="shared" si="18"/>
        <v>35</v>
      </c>
      <c r="G99" s="7">
        <f t="shared" si="31"/>
        <v>37</v>
      </c>
      <c r="H99" s="7">
        <f>VLOOKUP("l" &amp; H$3 &amp; TEXT(DataLog[[#This Row],[Time]],"yyyymmddhhmmss"),DataTable!$A:$B,2,FALSE)</f>
        <v>34.799999237060547</v>
      </c>
      <c r="I99" s="7">
        <f t="shared" si="19"/>
        <v>34</v>
      </c>
      <c r="J99" s="7">
        <f t="shared" si="20"/>
        <v>36</v>
      </c>
      <c r="K99" s="7">
        <f>VLOOKUP("l" &amp; K$3 &amp; TEXT(DataLog[[#This Row],[Time]],"yyyymmddhhmmss"),DataTable!$A:$B,2,FALSE)</f>
        <v>29.600000381469727</v>
      </c>
      <c r="L99" s="7">
        <f t="shared" si="21"/>
        <v>29</v>
      </c>
      <c r="M99" s="7">
        <f t="shared" si="22"/>
        <v>31</v>
      </c>
      <c r="N99" s="7">
        <f>VLOOKUP("l" &amp; N$3 &amp; TEXT(DataLog[[#This Row],[Time]],"yyyymmddhhmmss"),DataTable!$A:$B,2,FALSE)</f>
        <v>24.799999237060547</v>
      </c>
      <c r="O99" s="7">
        <f t="shared" si="23"/>
        <v>24</v>
      </c>
      <c r="P99" s="7">
        <f t="shared" si="24"/>
        <v>26</v>
      </c>
      <c r="Q99" s="7">
        <f>VLOOKUP("l" &amp; Q$3 &amp; TEXT(DataLog[[#This Row],[Time]],"yyyymmddhhmmss"),DataTable!$A:$B,2,FALSE)</f>
        <v>36.900001525878906</v>
      </c>
      <c r="R99" s="7">
        <f t="shared" si="25"/>
        <v>36</v>
      </c>
      <c r="S99" s="7">
        <f t="shared" si="26"/>
        <v>38</v>
      </c>
      <c r="T99" s="7">
        <f>VLOOKUP("l" &amp; T$3 &amp; TEXT(DataLog[[#This Row],[Time]],"yyyymmddhhmmss"),DataTable!$A:$B,2,FALSE)</f>
        <v>29.799999237060547</v>
      </c>
      <c r="U99" s="7">
        <f t="shared" si="27"/>
        <v>29</v>
      </c>
      <c r="V99" s="7">
        <f t="shared" si="28"/>
        <v>31</v>
      </c>
    </row>
    <row r="100" spans="1:22" x14ac:dyDescent="0.25">
      <c r="A100" s="4">
        <f t="shared" si="29"/>
        <v>44687.239583333103</v>
      </c>
      <c r="B100" s="7">
        <f>VLOOKUP("l" &amp; B$3 &amp; TEXT(DataLog[[#This Row],[Time]],"yyyymmddhhmmss"),DataTable!$A:$B,2,FALSE)</f>
        <v>37.5</v>
      </c>
      <c r="C100" s="7">
        <f t="shared" si="17"/>
        <v>36</v>
      </c>
      <c r="D100" s="7">
        <f t="shared" si="30"/>
        <v>38</v>
      </c>
      <c r="E100" s="7">
        <f>VLOOKUP("l" &amp; E$3 &amp; TEXT(DataLog[[#This Row],[Time]],"yyyymmddhhmmss"),DataTable!$A:$B,2,FALSE)</f>
        <v>36.200000762939453</v>
      </c>
      <c r="F100" s="7">
        <f t="shared" si="18"/>
        <v>35</v>
      </c>
      <c r="G100" s="7">
        <f t="shared" si="31"/>
        <v>37</v>
      </c>
      <c r="H100" s="7">
        <f>VLOOKUP("l" &amp; H$3 &amp; TEXT(DataLog[[#This Row],[Time]],"yyyymmddhhmmss"),DataTable!$A:$B,2,FALSE)</f>
        <v>35.200000762939453</v>
      </c>
      <c r="I100" s="7">
        <f t="shared" si="19"/>
        <v>34</v>
      </c>
      <c r="J100" s="7">
        <f t="shared" si="20"/>
        <v>36</v>
      </c>
      <c r="K100" s="7">
        <f>VLOOKUP("l" &amp; K$3 &amp; TEXT(DataLog[[#This Row],[Time]],"yyyymmddhhmmss"),DataTable!$A:$B,2,FALSE)</f>
        <v>29.600000381469727</v>
      </c>
      <c r="L100" s="7">
        <f t="shared" si="21"/>
        <v>29</v>
      </c>
      <c r="M100" s="7">
        <f t="shared" si="22"/>
        <v>31</v>
      </c>
      <c r="N100" s="7">
        <f>VLOOKUP("l" &amp; N$3 &amp; TEXT(DataLog[[#This Row],[Time]],"yyyymmddhhmmss"),DataTable!$A:$B,2,FALSE)</f>
        <v>24.399999618530273</v>
      </c>
      <c r="O100" s="7">
        <f t="shared" si="23"/>
        <v>24</v>
      </c>
      <c r="P100" s="7">
        <f t="shared" si="24"/>
        <v>26</v>
      </c>
      <c r="Q100" s="7">
        <f>VLOOKUP("l" &amp; Q$3 &amp; TEXT(DataLog[[#This Row],[Time]],"yyyymmddhhmmss"),DataTable!$A:$B,2,FALSE)</f>
        <v>36.900001525878906</v>
      </c>
      <c r="R100" s="7">
        <f t="shared" si="25"/>
        <v>36</v>
      </c>
      <c r="S100" s="7">
        <f t="shared" si="26"/>
        <v>38</v>
      </c>
      <c r="T100" s="7">
        <f>VLOOKUP("l" &amp; T$3 &amp; TEXT(DataLog[[#This Row],[Time]],"yyyymmddhhmmss"),DataTable!$A:$B,2,FALSE)</f>
        <v>30.200000762939453</v>
      </c>
      <c r="U100" s="7">
        <f t="shared" si="27"/>
        <v>29</v>
      </c>
      <c r="V100" s="7">
        <f t="shared" si="28"/>
        <v>31</v>
      </c>
    </row>
    <row r="101" spans="1:22" x14ac:dyDescent="0.25">
      <c r="A101" s="4">
        <f t="shared" si="29"/>
        <v>44687.249999999767</v>
      </c>
      <c r="B101" s="7">
        <f>VLOOKUP("l" &amp; B$3 &amp; TEXT(DataLog[[#This Row],[Time]],"yyyymmddhhmmss"),DataTable!$A:$B,2,FALSE)</f>
        <v>37.299999237060547</v>
      </c>
      <c r="C101" s="7">
        <f t="shared" si="17"/>
        <v>36</v>
      </c>
      <c r="D101" s="7">
        <f t="shared" si="30"/>
        <v>38</v>
      </c>
      <c r="E101" s="7">
        <f>VLOOKUP("l" &amp; E$3 &amp; TEXT(DataLog[[#This Row],[Time]],"yyyymmddhhmmss"),DataTable!$A:$B,2,FALSE)</f>
        <v>36.400001525878906</v>
      </c>
      <c r="F101" s="7">
        <f t="shared" si="18"/>
        <v>35</v>
      </c>
      <c r="G101" s="7">
        <f t="shared" si="31"/>
        <v>37</v>
      </c>
      <c r="H101" s="7">
        <f>VLOOKUP("l" &amp; H$3 &amp; TEXT(DataLog[[#This Row],[Time]],"yyyymmddhhmmss"),DataTable!$A:$B,2,FALSE)</f>
        <v>35.200000762939453</v>
      </c>
      <c r="I101" s="7">
        <f t="shared" si="19"/>
        <v>34</v>
      </c>
      <c r="J101" s="7">
        <f t="shared" si="20"/>
        <v>36</v>
      </c>
      <c r="K101" s="7">
        <f>VLOOKUP("l" &amp; K$3 &amp; TEXT(DataLog[[#This Row],[Time]],"yyyymmddhhmmss"),DataTable!$A:$B,2,FALSE)</f>
        <v>29.600000381469727</v>
      </c>
      <c r="L101" s="7">
        <f t="shared" si="21"/>
        <v>29</v>
      </c>
      <c r="M101" s="7">
        <f t="shared" si="22"/>
        <v>31</v>
      </c>
      <c r="N101" s="7">
        <f>VLOOKUP("l" &amp; N$3 &amp; TEXT(DataLog[[#This Row],[Time]],"yyyymmddhhmmss"),DataTable!$A:$B,2,FALSE)</f>
        <v>24.799999237060547</v>
      </c>
      <c r="O101" s="7">
        <f t="shared" si="23"/>
        <v>24</v>
      </c>
      <c r="P101" s="7">
        <f t="shared" si="24"/>
        <v>26</v>
      </c>
      <c r="Q101" s="7">
        <f>VLOOKUP("l" &amp; Q$3 &amp; TEXT(DataLog[[#This Row],[Time]],"yyyymmddhhmmss"),DataTable!$A:$B,2,FALSE)</f>
        <v>37.099998474121094</v>
      </c>
      <c r="R101" s="7">
        <f t="shared" si="25"/>
        <v>36</v>
      </c>
      <c r="S101" s="7">
        <f t="shared" si="26"/>
        <v>38</v>
      </c>
      <c r="T101" s="7">
        <f>VLOOKUP("l" &amp; T$3 &amp; TEXT(DataLog[[#This Row],[Time]],"yyyymmddhhmmss"),DataTable!$A:$B,2,FALSE)</f>
        <v>30.399999618530273</v>
      </c>
      <c r="U101" s="7">
        <f t="shared" si="27"/>
        <v>29</v>
      </c>
      <c r="V101" s="7">
        <f t="shared" si="28"/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B680"/>
  <sheetViews>
    <sheetView topLeftCell="A201" workbookViewId="0">
      <selection activeCell="B210" sqref="B210"/>
    </sheetView>
  </sheetViews>
  <sheetFormatPr defaultRowHeight="15" x14ac:dyDescent="0.25"/>
  <cols>
    <col min="1" max="1" width="19.28515625" style="9" customWidth="1"/>
    <col min="2" max="2" width="12" customWidth="1"/>
  </cols>
  <sheetData>
    <row r="1" spans="1:2" s="1" customFormat="1" x14ac:dyDescent="0.25">
      <c r="A1" s="8" t="s">
        <v>24</v>
      </c>
      <c r="B1" s="1" t="s">
        <v>23</v>
      </c>
    </row>
    <row r="2" spans="1:2" x14ac:dyDescent="0.25">
      <c r="A2" s="9" t="s">
        <v>25</v>
      </c>
      <c r="B2">
        <v>37.5</v>
      </c>
    </row>
    <row r="3" spans="1:2" x14ac:dyDescent="0.25">
      <c r="A3" s="9" t="s">
        <v>26</v>
      </c>
      <c r="B3">
        <v>37.299999237060547</v>
      </c>
    </row>
    <row r="4" spans="1:2" x14ac:dyDescent="0.25">
      <c r="A4" s="9" t="s">
        <v>27</v>
      </c>
      <c r="B4">
        <v>37.5</v>
      </c>
    </row>
    <row r="5" spans="1:2" x14ac:dyDescent="0.25">
      <c r="A5" s="9" t="s">
        <v>28</v>
      </c>
      <c r="B5">
        <v>37.099998474121094</v>
      </c>
    </row>
    <row r="6" spans="1:2" x14ac:dyDescent="0.25">
      <c r="A6" s="9" t="s">
        <v>29</v>
      </c>
      <c r="B6">
        <v>37.700000762939453</v>
      </c>
    </row>
    <row r="7" spans="1:2" x14ac:dyDescent="0.25">
      <c r="A7" s="9" t="s">
        <v>30</v>
      </c>
      <c r="B7">
        <v>37.299999237060547</v>
      </c>
    </row>
    <row r="8" spans="1:2" x14ac:dyDescent="0.25">
      <c r="A8" s="9" t="s">
        <v>31</v>
      </c>
      <c r="B8">
        <v>37.5</v>
      </c>
    </row>
    <row r="9" spans="1:2" x14ac:dyDescent="0.25">
      <c r="A9" s="9" t="s">
        <v>32</v>
      </c>
      <c r="B9">
        <v>37.5</v>
      </c>
    </row>
    <row r="10" spans="1:2" x14ac:dyDescent="0.25">
      <c r="A10" s="9" t="s">
        <v>33</v>
      </c>
      <c r="B10">
        <v>37.5</v>
      </c>
    </row>
    <row r="11" spans="1:2" x14ac:dyDescent="0.25">
      <c r="A11" s="9" t="s">
        <v>34</v>
      </c>
      <c r="B11">
        <v>37.5</v>
      </c>
    </row>
    <row r="12" spans="1:2" x14ac:dyDescent="0.25">
      <c r="A12" s="9" t="s">
        <v>35</v>
      </c>
      <c r="B12">
        <v>37.299999237060547</v>
      </c>
    </row>
    <row r="13" spans="1:2" x14ac:dyDescent="0.25">
      <c r="A13" s="9" t="s">
        <v>36</v>
      </c>
      <c r="B13">
        <v>37.700000762939453</v>
      </c>
    </row>
    <row r="14" spans="1:2" x14ac:dyDescent="0.25">
      <c r="A14" s="9" t="s">
        <v>37</v>
      </c>
      <c r="B14">
        <v>37.299999237060547</v>
      </c>
    </row>
    <row r="15" spans="1:2" x14ac:dyDescent="0.25">
      <c r="A15" s="9" t="s">
        <v>38</v>
      </c>
      <c r="B15">
        <v>37.5</v>
      </c>
    </row>
    <row r="16" spans="1:2" x14ac:dyDescent="0.25">
      <c r="A16" s="9" t="s">
        <v>39</v>
      </c>
      <c r="B16">
        <v>37.5</v>
      </c>
    </row>
    <row r="17" spans="1:2" x14ac:dyDescent="0.25">
      <c r="A17" s="9" t="s">
        <v>40</v>
      </c>
      <c r="B17">
        <v>37.5</v>
      </c>
    </row>
    <row r="18" spans="1:2" x14ac:dyDescent="0.25">
      <c r="A18" s="9" t="s">
        <v>41</v>
      </c>
      <c r="B18">
        <v>37.5</v>
      </c>
    </row>
    <row r="19" spans="1:2" x14ac:dyDescent="0.25">
      <c r="A19" s="9" t="s">
        <v>42</v>
      </c>
      <c r="B19">
        <v>37.299999237060547</v>
      </c>
    </row>
    <row r="20" spans="1:2" x14ac:dyDescent="0.25">
      <c r="A20" s="9" t="s">
        <v>43</v>
      </c>
      <c r="B20">
        <v>37.700000762939453</v>
      </c>
    </row>
    <row r="21" spans="1:2" x14ac:dyDescent="0.25">
      <c r="A21" s="9" t="s">
        <v>44</v>
      </c>
      <c r="B21">
        <v>37.299999237060547</v>
      </c>
    </row>
    <row r="22" spans="1:2" x14ac:dyDescent="0.25">
      <c r="A22" s="9" t="s">
        <v>45</v>
      </c>
      <c r="B22">
        <v>37.5</v>
      </c>
    </row>
    <row r="23" spans="1:2" x14ac:dyDescent="0.25">
      <c r="A23" s="9" t="s">
        <v>46</v>
      </c>
      <c r="B23">
        <v>37.5</v>
      </c>
    </row>
    <row r="24" spans="1:2" x14ac:dyDescent="0.25">
      <c r="A24" s="9" t="s">
        <v>47</v>
      </c>
      <c r="B24">
        <v>37.5</v>
      </c>
    </row>
    <row r="25" spans="1:2" x14ac:dyDescent="0.25">
      <c r="A25" s="9" t="s">
        <v>48</v>
      </c>
      <c r="B25">
        <v>37.5</v>
      </c>
    </row>
    <row r="26" spans="1:2" x14ac:dyDescent="0.25">
      <c r="A26" s="9" t="s">
        <v>49</v>
      </c>
      <c r="B26">
        <v>37.5</v>
      </c>
    </row>
    <row r="27" spans="1:2" x14ac:dyDescent="0.25">
      <c r="A27" s="9" t="s">
        <v>50</v>
      </c>
      <c r="B27">
        <v>37.299999237060547</v>
      </c>
    </row>
    <row r="28" spans="1:2" x14ac:dyDescent="0.25">
      <c r="A28" s="9" t="s">
        <v>51</v>
      </c>
      <c r="B28">
        <v>37.700000762939453</v>
      </c>
    </row>
    <row r="29" spans="1:2" x14ac:dyDescent="0.25">
      <c r="A29" s="9" t="s">
        <v>52</v>
      </c>
      <c r="B29">
        <v>37.299999237060547</v>
      </c>
    </row>
    <row r="30" spans="1:2" x14ac:dyDescent="0.25">
      <c r="A30" s="9" t="s">
        <v>53</v>
      </c>
      <c r="B30">
        <v>37.5</v>
      </c>
    </row>
    <row r="31" spans="1:2" x14ac:dyDescent="0.25">
      <c r="A31" s="9" t="s">
        <v>54</v>
      </c>
      <c r="B31">
        <v>37.099998474121094</v>
      </c>
    </row>
    <row r="32" spans="1:2" x14ac:dyDescent="0.25">
      <c r="A32" s="9" t="s">
        <v>55</v>
      </c>
      <c r="B32">
        <v>37.700000762939453</v>
      </c>
    </row>
    <row r="33" spans="1:2" x14ac:dyDescent="0.25">
      <c r="A33" s="9" t="s">
        <v>56</v>
      </c>
      <c r="B33">
        <v>37.099998474121094</v>
      </c>
    </row>
    <row r="34" spans="1:2" x14ac:dyDescent="0.25">
      <c r="A34" s="9" t="s">
        <v>57</v>
      </c>
      <c r="B34">
        <v>37.700000762939453</v>
      </c>
    </row>
    <row r="35" spans="1:2" x14ac:dyDescent="0.25">
      <c r="A35" s="9" t="s">
        <v>58</v>
      </c>
      <c r="B35">
        <v>37.099998474121094</v>
      </c>
    </row>
    <row r="36" spans="1:2" x14ac:dyDescent="0.25">
      <c r="A36" s="9" t="s">
        <v>59</v>
      </c>
      <c r="B36">
        <v>37.700000762939453</v>
      </c>
    </row>
    <row r="37" spans="1:2" x14ac:dyDescent="0.25">
      <c r="A37" s="9" t="s">
        <v>60</v>
      </c>
      <c r="B37">
        <v>37.099998474121094</v>
      </c>
    </row>
    <row r="38" spans="1:2" x14ac:dyDescent="0.25">
      <c r="A38" s="9" t="s">
        <v>61</v>
      </c>
      <c r="B38">
        <v>37.900001525878906</v>
      </c>
    </row>
    <row r="39" spans="1:2" x14ac:dyDescent="0.25">
      <c r="A39" s="9" t="s">
        <v>62</v>
      </c>
      <c r="B39">
        <v>37.5</v>
      </c>
    </row>
    <row r="40" spans="1:2" x14ac:dyDescent="0.25">
      <c r="A40" s="9" t="s">
        <v>63</v>
      </c>
      <c r="B40">
        <v>37.5</v>
      </c>
    </row>
    <row r="41" spans="1:2" x14ac:dyDescent="0.25">
      <c r="A41" s="9" t="s">
        <v>64</v>
      </c>
      <c r="B41">
        <v>37.5</v>
      </c>
    </row>
    <row r="42" spans="1:2" x14ac:dyDescent="0.25">
      <c r="A42" s="9" t="s">
        <v>65</v>
      </c>
      <c r="B42">
        <v>37.5</v>
      </c>
    </row>
    <row r="43" spans="1:2" x14ac:dyDescent="0.25">
      <c r="A43" s="9" t="s">
        <v>66</v>
      </c>
      <c r="B43">
        <v>37.099998474121094</v>
      </c>
    </row>
    <row r="44" spans="1:2" x14ac:dyDescent="0.25">
      <c r="A44" s="9" t="s">
        <v>67</v>
      </c>
      <c r="B44">
        <v>37.700000762939453</v>
      </c>
    </row>
    <row r="45" spans="1:2" x14ac:dyDescent="0.25">
      <c r="A45" s="9" t="s">
        <v>68</v>
      </c>
      <c r="B45">
        <v>37.299999237060547</v>
      </c>
    </row>
    <row r="46" spans="1:2" x14ac:dyDescent="0.25">
      <c r="A46" s="9" t="s">
        <v>69</v>
      </c>
      <c r="B46">
        <v>37.700000762939453</v>
      </c>
    </row>
    <row r="47" spans="1:2" x14ac:dyDescent="0.25">
      <c r="A47" s="9" t="s">
        <v>70</v>
      </c>
      <c r="B47">
        <v>37.299999237060547</v>
      </c>
    </row>
    <row r="48" spans="1:2" x14ac:dyDescent="0.25">
      <c r="A48" s="9" t="s">
        <v>71</v>
      </c>
      <c r="B48">
        <v>37.5</v>
      </c>
    </row>
    <row r="49" spans="1:2" x14ac:dyDescent="0.25">
      <c r="A49" s="9" t="s">
        <v>72</v>
      </c>
      <c r="B49">
        <v>37.099998474121094</v>
      </c>
    </row>
    <row r="50" spans="1:2" x14ac:dyDescent="0.25">
      <c r="A50" s="9" t="s">
        <v>73</v>
      </c>
      <c r="B50">
        <v>37.700000762939453</v>
      </c>
    </row>
    <row r="51" spans="1:2" x14ac:dyDescent="0.25">
      <c r="A51" s="9" t="s">
        <v>74</v>
      </c>
      <c r="B51">
        <v>37.299999237060547</v>
      </c>
    </row>
    <row r="52" spans="1:2" x14ac:dyDescent="0.25">
      <c r="A52" s="9" t="s">
        <v>75</v>
      </c>
      <c r="B52">
        <v>37.700000762939453</v>
      </c>
    </row>
    <row r="53" spans="1:2" x14ac:dyDescent="0.25">
      <c r="A53" s="9" t="s">
        <v>76</v>
      </c>
      <c r="B53">
        <v>37.099998474121094</v>
      </c>
    </row>
    <row r="54" spans="1:2" x14ac:dyDescent="0.25">
      <c r="A54" s="9" t="s">
        <v>77</v>
      </c>
      <c r="B54">
        <v>37.700000762939453</v>
      </c>
    </row>
    <row r="55" spans="1:2" x14ac:dyDescent="0.25">
      <c r="A55" s="9" t="s">
        <v>78</v>
      </c>
      <c r="B55">
        <v>37.099998474121094</v>
      </c>
    </row>
    <row r="56" spans="1:2" x14ac:dyDescent="0.25">
      <c r="A56" s="9" t="s">
        <v>79</v>
      </c>
      <c r="B56">
        <v>36.900001525878906</v>
      </c>
    </row>
    <row r="57" spans="1:2" x14ac:dyDescent="0.25">
      <c r="A57" s="9" t="s">
        <v>80</v>
      </c>
      <c r="B57">
        <v>37.5</v>
      </c>
    </row>
    <row r="58" spans="1:2" x14ac:dyDescent="0.25">
      <c r="A58" s="9" t="s">
        <v>81</v>
      </c>
      <c r="B58">
        <v>37.099998474121094</v>
      </c>
    </row>
    <row r="59" spans="1:2" x14ac:dyDescent="0.25">
      <c r="A59" s="9" t="s">
        <v>82</v>
      </c>
      <c r="B59">
        <v>37.5</v>
      </c>
    </row>
    <row r="60" spans="1:2" x14ac:dyDescent="0.25">
      <c r="A60" s="9" t="s">
        <v>83</v>
      </c>
      <c r="B60">
        <v>37.099998474121094</v>
      </c>
    </row>
    <row r="61" spans="1:2" x14ac:dyDescent="0.25">
      <c r="A61" s="9" t="s">
        <v>84</v>
      </c>
      <c r="B61">
        <v>37.5</v>
      </c>
    </row>
    <row r="62" spans="1:2" x14ac:dyDescent="0.25">
      <c r="A62" s="9" t="s">
        <v>85</v>
      </c>
      <c r="B62">
        <v>37.299999237060547</v>
      </c>
    </row>
    <row r="63" spans="1:2" x14ac:dyDescent="0.25">
      <c r="A63" s="9" t="s">
        <v>86</v>
      </c>
      <c r="B63">
        <v>37.5</v>
      </c>
    </row>
    <row r="64" spans="1:2" x14ac:dyDescent="0.25">
      <c r="A64" s="9" t="s">
        <v>87</v>
      </c>
      <c r="B64">
        <v>37.5</v>
      </c>
    </row>
    <row r="65" spans="1:2" x14ac:dyDescent="0.25">
      <c r="A65" s="9" t="s">
        <v>88</v>
      </c>
      <c r="B65">
        <v>37.299999237060547</v>
      </c>
    </row>
    <row r="66" spans="1:2" x14ac:dyDescent="0.25">
      <c r="A66" s="9" t="s">
        <v>89</v>
      </c>
      <c r="B66">
        <v>37.5</v>
      </c>
    </row>
    <row r="67" spans="1:2" x14ac:dyDescent="0.25">
      <c r="A67" s="9" t="s">
        <v>90</v>
      </c>
      <c r="B67">
        <v>37.099998474121094</v>
      </c>
    </row>
    <row r="68" spans="1:2" x14ac:dyDescent="0.25">
      <c r="A68" s="9" t="s">
        <v>91</v>
      </c>
      <c r="B68">
        <v>37.5</v>
      </c>
    </row>
    <row r="69" spans="1:2" x14ac:dyDescent="0.25">
      <c r="A69" s="9" t="s">
        <v>92</v>
      </c>
      <c r="B69">
        <v>37.099998474121094</v>
      </c>
    </row>
    <row r="70" spans="1:2" x14ac:dyDescent="0.25">
      <c r="A70" s="9" t="s">
        <v>93</v>
      </c>
      <c r="B70">
        <v>37.5</v>
      </c>
    </row>
    <row r="71" spans="1:2" x14ac:dyDescent="0.25">
      <c r="A71" s="9" t="s">
        <v>94</v>
      </c>
      <c r="B71">
        <v>37.099998474121094</v>
      </c>
    </row>
    <row r="72" spans="1:2" x14ac:dyDescent="0.25">
      <c r="A72" s="9" t="s">
        <v>95</v>
      </c>
      <c r="B72">
        <v>37.5</v>
      </c>
    </row>
    <row r="73" spans="1:2" x14ac:dyDescent="0.25">
      <c r="A73" s="9" t="s">
        <v>96</v>
      </c>
      <c r="B73">
        <v>37.099998474121094</v>
      </c>
    </row>
    <row r="74" spans="1:2" x14ac:dyDescent="0.25">
      <c r="A74" s="9" t="s">
        <v>97</v>
      </c>
      <c r="B74">
        <v>37.700000762939453</v>
      </c>
    </row>
    <row r="75" spans="1:2" x14ac:dyDescent="0.25">
      <c r="A75" s="9" t="s">
        <v>98</v>
      </c>
      <c r="B75">
        <v>37.299999237060547</v>
      </c>
    </row>
    <row r="76" spans="1:2" x14ac:dyDescent="0.25">
      <c r="A76" s="9" t="s">
        <v>99</v>
      </c>
      <c r="B76">
        <v>37.5</v>
      </c>
    </row>
    <row r="77" spans="1:2" x14ac:dyDescent="0.25">
      <c r="A77" s="9" t="s">
        <v>100</v>
      </c>
      <c r="B77">
        <v>37.299999237060547</v>
      </c>
    </row>
    <row r="78" spans="1:2" x14ac:dyDescent="0.25">
      <c r="A78" s="9" t="s">
        <v>101</v>
      </c>
      <c r="B78">
        <v>37.5</v>
      </c>
    </row>
    <row r="79" spans="1:2" x14ac:dyDescent="0.25">
      <c r="A79" s="9" t="s">
        <v>102</v>
      </c>
      <c r="B79">
        <v>37.299999237060547</v>
      </c>
    </row>
    <row r="80" spans="1:2" x14ac:dyDescent="0.25">
      <c r="A80" s="9" t="s">
        <v>103</v>
      </c>
      <c r="B80">
        <v>37.700000762939453</v>
      </c>
    </row>
    <row r="81" spans="1:2" x14ac:dyDescent="0.25">
      <c r="A81" s="9" t="s">
        <v>104</v>
      </c>
      <c r="B81">
        <v>37.299999237060547</v>
      </c>
    </row>
    <row r="82" spans="1:2" x14ac:dyDescent="0.25">
      <c r="A82" s="9" t="s">
        <v>105</v>
      </c>
      <c r="B82">
        <v>37.700000762939453</v>
      </c>
    </row>
    <row r="83" spans="1:2" x14ac:dyDescent="0.25">
      <c r="A83" s="9" t="s">
        <v>106</v>
      </c>
      <c r="B83">
        <v>37.299999237060547</v>
      </c>
    </row>
    <row r="84" spans="1:2" x14ac:dyDescent="0.25">
      <c r="A84" s="9" t="s">
        <v>107</v>
      </c>
      <c r="B84">
        <v>37.700000762939453</v>
      </c>
    </row>
    <row r="85" spans="1:2" x14ac:dyDescent="0.25">
      <c r="A85" s="9" t="s">
        <v>108</v>
      </c>
      <c r="B85">
        <v>37.299999237060547</v>
      </c>
    </row>
    <row r="86" spans="1:2" x14ac:dyDescent="0.25">
      <c r="A86" s="9" t="s">
        <v>109</v>
      </c>
      <c r="B86">
        <v>37.700000762939453</v>
      </c>
    </row>
    <row r="87" spans="1:2" x14ac:dyDescent="0.25">
      <c r="A87" s="9" t="s">
        <v>110</v>
      </c>
      <c r="B87">
        <v>37.299999237060547</v>
      </c>
    </row>
    <row r="88" spans="1:2" x14ac:dyDescent="0.25">
      <c r="A88" s="9" t="s">
        <v>111</v>
      </c>
      <c r="B88">
        <v>37.5</v>
      </c>
    </row>
    <row r="89" spans="1:2" x14ac:dyDescent="0.25">
      <c r="A89" s="9" t="s">
        <v>112</v>
      </c>
      <c r="B89">
        <v>37.5</v>
      </c>
    </row>
    <row r="90" spans="1:2" x14ac:dyDescent="0.25">
      <c r="A90" s="9" t="s">
        <v>113</v>
      </c>
      <c r="B90">
        <v>37.5</v>
      </c>
    </row>
    <row r="91" spans="1:2" x14ac:dyDescent="0.25">
      <c r="A91" s="9" t="s">
        <v>114</v>
      </c>
      <c r="B91">
        <v>37.5</v>
      </c>
    </row>
    <row r="92" spans="1:2" x14ac:dyDescent="0.25">
      <c r="A92" s="9" t="s">
        <v>115</v>
      </c>
      <c r="B92">
        <v>37.5</v>
      </c>
    </row>
    <row r="93" spans="1:2" x14ac:dyDescent="0.25">
      <c r="A93" s="9" t="s">
        <v>116</v>
      </c>
      <c r="B93">
        <v>37.5</v>
      </c>
    </row>
    <row r="94" spans="1:2" x14ac:dyDescent="0.25">
      <c r="A94" s="9" t="s">
        <v>117</v>
      </c>
      <c r="B94">
        <v>37.299999237060547</v>
      </c>
    </row>
    <row r="95" spans="1:2" x14ac:dyDescent="0.25">
      <c r="A95" s="9" t="s">
        <v>118</v>
      </c>
      <c r="B95">
        <v>37.5</v>
      </c>
    </row>
    <row r="96" spans="1:2" x14ac:dyDescent="0.25">
      <c r="A96" s="9" t="s">
        <v>119</v>
      </c>
      <c r="B96">
        <v>37.299999237060547</v>
      </c>
    </row>
    <row r="97" spans="1:2" x14ac:dyDescent="0.25">
      <c r="A97" s="9" t="s">
        <v>120</v>
      </c>
      <c r="B97">
        <v>37.5</v>
      </c>
    </row>
    <row r="98" spans="1:2" x14ac:dyDescent="0.25">
      <c r="A98" s="9" t="s">
        <v>121</v>
      </c>
      <c r="B98">
        <v>37.299999237060547</v>
      </c>
    </row>
    <row r="99" spans="1:2" x14ac:dyDescent="0.25">
      <c r="A99" s="9" t="s">
        <v>122</v>
      </c>
      <c r="B99">
        <v>36.200000762939453</v>
      </c>
    </row>
    <row r="100" spans="1:2" x14ac:dyDescent="0.25">
      <c r="A100" s="9" t="s">
        <v>123</v>
      </c>
      <c r="B100">
        <v>35.599998474121094</v>
      </c>
    </row>
    <row r="101" spans="1:2" x14ac:dyDescent="0.25">
      <c r="A101" s="9" t="s">
        <v>124</v>
      </c>
      <c r="B101">
        <v>36.400001525878906</v>
      </c>
    </row>
    <row r="102" spans="1:2" x14ac:dyDescent="0.25">
      <c r="A102" s="9" t="s">
        <v>125</v>
      </c>
      <c r="B102">
        <v>36.799999237060547</v>
      </c>
    </row>
    <row r="103" spans="1:2" x14ac:dyDescent="0.25">
      <c r="A103" s="9" t="s">
        <v>126</v>
      </c>
      <c r="B103">
        <v>36.400001525878906</v>
      </c>
    </row>
    <row r="104" spans="1:2" x14ac:dyDescent="0.25">
      <c r="A104" s="9" t="s">
        <v>127</v>
      </c>
      <c r="B104">
        <v>35.799999237060547</v>
      </c>
    </row>
    <row r="105" spans="1:2" x14ac:dyDescent="0.25">
      <c r="A105" s="9" t="s">
        <v>128</v>
      </c>
      <c r="B105">
        <v>36</v>
      </c>
    </row>
    <row r="106" spans="1:2" x14ac:dyDescent="0.25">
      <c r="A106" s="9" t="s">
        <v>129</v>
      </c>
      <c r="B106">
        <v>36.599998474121094</v>
      </c>
    </row>
    <row r="107" spans="1:2" x14ac:dyDescent="0.25">
      <c r="A107" s="9" t="s">
        <v>130</v>
      </c>
      <c r="B107">
        <v>36.599998474121094</v>
      </c>
    </row>
    <row r="108" spans="1:2" x14ac:dyDescent="0.25">
      <c r="A108" s="9" t="s">
        <v>131</v>
      </c>
      <c r="B108">
        <v>36</v>
      </c>
    </row>
    <row r="109" spans="1:2" x14ac:dyDescent="0.25">
      <c r="A109" s="9" t="s">
        <v>132</v>
      </c>
      <c r="B109">
        <v>35.599998474121094</v>
      </c>
    </row>
    <row r="110" spans="1:2" x14ac:dyDescent="0.25">
      <c r="A110" s="9" t="s">
        <v>133</v>
      </c>
      <c r="B110">
        <v>36.799999237060547</v>
      </c>
    </row>
    <row r="111" spans="1:2" x14ac:dyDescent="0.25">
      <c r="A111" s="9" t="s">
        <v>134</v>
      </c>
      <c r="B111">
        <v>36.799999237060547</v>
      </c>
    </row>
    <row r="112" spans="1:2" x14ac:dyDescent="0.25">
      <c r="A112" s="9" t="s">
        <v>135</v>
      </c>
      <c r="B112">
        <v>35.799999237060547</v>
      </c>
    </row>
    <row r="113" spans="1:2" x14ac:dyDescent="0.25">
      <c r="A113" s="9" t="s">
        <v>136</v>
      </c>
      <c r="B113">
        <v>35.599998474121094</v>
      </c>
    </row>
    <row r="114" spans="1:2" x14ac:dyDescent="0.25">
      <c r="A114" s="9" t="s">
        <v>137</v>
      </c>
      <c r="B114">
        <v>36.599998474121094</v>
      </c>
    </row>
    <row r="115" spans="1:2" x14ac:dyDescent="0.25">
      <c r="A115" s="9" t="s">
        <v>138</v>
      </c>
      <c r="B115">
        <v>36</v>
      </c>
    </row>
    <row r="116" spans="1:2" x14ac:dyDescent="0.25">
      <c r="A116" s="9" t="s">
        <v>139</v>
      </c>
      <c r="B116">
        <v>35.599998474121094</v>
      </c>
    </row>
    <row r="117" spans="1:2" x14ac:dyDescent="0.25">
      <c r="A117" s="9" t="s">
        <v>140</v>
      </c>
      <c r="B117">
        <v>36.599998474121094</v>
      </c>
    </row>
    <row r="118" spans="1:2" x14ac:dyDescent="0.25">
      <c r="A118" s="9" t="s">
        <v>141</v>
      </c>
      <c r="B118">
        <v>35.799999237060547</v>
      </c>
    </row>
    <row r="119" spans="1:2" x14ac:dyDescent="0.25">
      <c r="A119" s="9" t="s">
        <v>142</v>
      </c>
      <c r="B119">
        <v>36</v>
      </c>
    </row>
    <row r="120" spans="1:2" x14ac:dyDescent="0.25">
      <c r="A120" s="9" t="s">
        <v>143</v>
      </c>
      <c r="B120">
        <v>36.599998474121094</v>
      </c>
    </row>
    <row r="121" spans="1:2" x14ac:dyDescent="0.25">
      <c r="A121" s="9" t="s">
        <v>144</v>
      </c>
      <c r="B121">
        <v>36</v>
      </c>
    </row>
    <row r="122" spans="1:2" x14ac:dyDescent="0.25">
      <c r="A122" s="9" t="s">
        <v>145</v>
      </c>
      <c r="B122">
        <v>35.799999237060547</v>
      </c>
    </row>
    <row r="123" spans="1:2" x14ac:dyDescent="0.25">
      <c r="A123" s="9" t="s">
        <v>146</v>
      </c>
      <c r="B123">
        <v>36.400001525878906</v>
      </c>
    </row>
    <row r="124" spans="1:2" x14ac:dyDescent="0.25">
      <c r="A124" s="9" t="s">
        <v>147</v>
      </c>
      <c r="B124">
        <v>36</v>
      </c>
    </row>
    <row r="125" spans="1:2" x14ac:dyDescent="0.25">
      <c r="A125" s="9" t="s">
        <v>148</v>
      </c>
      <c r="B125">
        <v>35.799999237060547</v>
      </c>
    </row>
    <row r="126" spans="1:2" x14ac:dyDescent="0.25">
      <c r="A126" s="9" t="s">
        <v>149</v>
      </c>
      <c r="B126">
        <v>36.400001525878906</v>
      </c>
    </row>
    <row r="127" spans="1:2" x14ac:dyDescent="0.25">
      <c r="A127" s="9" t="s">
        <v>150</v>
      </c>
      <c r="B127">
        <v>36.200000762939453</v>
      </c>
    </row>
    <row r="128" spans="1:2" x14ac:dyDescent="0.25">
      <c r="A128" s="9" t="s">
        <v>151</v>
      </c>
      <c r="B128">
        <v>35.599998474121094</v>
      </c>
    </row>
    <row r="129" spans="1:2" x14ac:dyDescent="0.25">
      <c r="A129" s="9" t="s">
        <v>152</v>
      </c>
      <c r="B129">
        <v>36.599998474121094</v>
      </c>
    </row>
    <row r="130" spans="1:2" x14ac:dyDescent="0.25">
      <c r="A130" s="9" t="s">
        <v>153</v>
      </c>
      <c r="B130">
        <v>36.400001525878906</v>
      </c>
    </row>
    <row r="131" spans="1:2" x14ac:dyDescent="0.25">
      <c r="A131" s="9" t="s">
        <v>154</v>
      </c>
      <c r="B131">
        <v>35.799999237060547</v>
      </c>
    </row>
    <row r="132" spans="1:2" x14ac:dyDescent="0.25">
      <c r="A132" s="9" t="s">
        <v>155</v>
      </c>
      <c r="B132">
        <v>36</v>
      </c>
    </row>
    <row r="133" spans="1:2" x14ac:dyDescent="0.25">
      <c r="A133" s="9" t="s">
        <v>156</v>
      </c>
      <c r="B133">
        <v>36.599998474121094</v>
      </c>
    </row>
    <row r="134" spans="1:2" x14ac:dyDescent="0.25">
      <c r="A134" s="9" t="s">
        <v>157</v>
      </c>
      <c r="B134">
        <v>36.400001525878906</v>
      </c>
    </row>
    <row r="135" spans="1:2" x14ac:dyDescent="0.25">
      <c r="A135" s="9" t="s">
        <v>158</v>
      </c>
      <c r="B135">
        <v>35.599998474121094</v>
      </c>
    </row>
    <row r="136" spans="1:2" x14ac:dyDescent="0.25">
      <c r="A136" s="9" t="s">
        <v>159</v>
      </c>
      <c r="B136">
        <v>36.200000762939453</v>
      </c>
    </row>
    <row r="137" spans="1:2" x14ac:dyDescent="0.25">
      <c r="A137" s="9" t="s">
        <v>160</v>
      </c>
      <c r="B137">
        <v>36.799999237060547</v>
      </c>
    </row>
    <row r="138" spans="1:2" x14ac:dyDescent="0.25">
      <c r="A138" s="9" t="s">
        <v>161</v>
      </c>
      <c r="B138">
        <v>36.400001525878906</v>
      </c>
    </row>
    <row r="139" spans="1:2" x14ac:dyDescent="0.25">
      <c r="A139" s="9" t="s">
        <v>162</v>
      </c>
      <c r="B139">
        <v>35.400001525878906</v>
      </c>
    </row>
    <row r="140" spans="1:2" x14ac:dyDescent="0.25">
      <c r="A140" s="9" t="s">
        <v>163</v>
      </c>
      <c r="B140">
        <v>36.200000762939453</v>
      </c>
    </row>
    <row r="141" spans="1:2" x14ac:dyDescent="0.25">
      <c r="A141" s="9" t="s">
        <v>164</v>
      </c>
      <c r="B141">
        <v>36.400001525878906</v>
      </c>
    </row>
    <row r="142" spans="1:2" x14ac:dyDescent="0.25">
      <c r="A142" s="9" t="s">
        <v>165</v>
      </c>
      <c r="B142">
        <v>36</v>
      </c>
    </row>
    <row r="143" spans="1:2" x14ac:dyDescent="0.25">
      <c r="A143" s="9" t="s">
        <v>166</v>
      </c>
      <c r="B143">
        <v>35.599998474121094</v>
      </c>
    </row>
    <row r="144" spans="1:2" x14ac:dyDescent="0.25">
      <c r="A144" s="9" t="s">
        <v>167</v>
      </c>
      <c r="B144">
        <v>36.400001525878906</v>
      </c>
    </row>
    <row r="145" spans="1:2" x14ac:dyDescent="0.25">
      <c r="A145" s="9" t="s">
        <v>168</v>
      </c>
      <c r="B145">
        <v>36.200000762939453</v>
      </c>
    </row>
    <row r="146" spans="1:2" x14ac:dyDescent="0.25">
      <c r="A146" s="9" t="s">
        <v>169</v>
      </c>
      <c r="B146">
        <v>35.599998474121094</v>
      </c>
    </row>
    <row r="147" spans="1:2" x14ac:dyDescent="0.25">
      <c r="A147" s="9" t="s">
        <v>170</v>
      </c>
      <c r="B147">
        <v>36.200000762939453</v>
      </c>
    </row>
    <row r="148" spans="1:2" x14ac:dyDescent="0.25">
      <c r="A148" s="9" t="s">
        <v>171</v>
      </c>
      <c r="B148">
        <v>36.200000762939453</v>
      </c>
    </row>
    <row r="149" spans="1:2" x14ac:dyDescent="0.25">
      <c r="A149" s="9" t="s">
        <v>172</v>
      </c>
      <c r="B149">
        <v>35.799999237060547</v>
      </c>
    </row>
    <row r="150" spans="1:2" x14ac:dyDescent="0.25">
      <c r="A150" s="9" t="s">
        <v>173</v>
      </c>
      <c r="B150">
        <v>36</v>
      </c>
    </row>
    <row r="151" spans="1:2" x14ac:dyDescent="0.25">
      <c r="A151" s="9" t="s">
        <v>174</v>
      </c>
      <c r="B151">
        <v>36.400001525878906</v>
      </c>
    </row>
    <row r="152" spans="1:2" x14ac:dyDescent="0.25">
      <c r="A152" s="9" t="s">
        <v>175</v>
      </c>
      <c r="B152">
        <v>35.599998474121094</v>
      </c>
    </row>
    <row r="153" spans="1:2" x14ac:dyDescent="0.25">
      <c r="A153" s="9" t="s">
        <v>176</v>
      </c>
      <c r="B153">
        <v>35.799999237060547</v>
      </c>
    </row>
    <row r="154" spans="1:2" x14ac:dyDescent="0.25">
      <c r="A154" s="9" t="s">
        <v>177</v>
      </c>
      <c r="B154">
        <v>36.200000762939453</v>
      </c>
    </row>
    <row r="155" spans="1:2" x14ac:dyDescent="0.25">
      <c r="A155" s="9" t="s">
        <v>178</v>
      </c>
      <c r="B155">
        <v>35.599998474121094</v>
      </c>
    </row>
    <row r="156" spans="1:2" x14ac:dyDescent="0.25">
      <c r="A156" s="9" t="s">
        <v>179</v>
      </c>
      <c r="B156">
        <v>36.400001525878906</v>
      </c>
    </row>
    <row r="157" spans="1:2" x14ac:dyDescent="0.25">
      <c r="A157" s="9" t="s">
        <v>180</v>
      </c>
      <c r="B157">
        <v>36.400001525878906</v>
      </c>
    </row>
    <row r="158" spans="1:2" x14ac:dyDescent="0.25">
      <c r="A158" s="9" t="s">
        <v>181</v>
      </c>
      <c r="B158">
        <v>35.799999237060547</v>
      </c>
    </row>
    <row r="159" spans="1:2" x14ac:dyDescent="0.25">
      <c r="A159" s="9" t="s">
        <v>182</v>
      </c>
      <c r="B159">
        <v>36</v>
      </c>
    </row>
    <row r="160" spans="1:2" x14ac:dyDescent="0.25">
      <c r="A160" s="9" t="s">
        <v>183</v>
      </c>
      <c r="B160">
        <v>36.400001525878906</v>
      </c>
    </row>
    <row r="161" spans="1:2" x14ac:dyDescent="0.25">
      <c r="A161" s="9" t="s">
        <v>184</v>
      </c>
      <c r="B161">
        <v>36.200000762939453</v>
      </c>
    </row>
    <row r="162" spans="1:2" x14ac:dyDescent="0.25">
      <c r="A162" s="9" t="s">
        <v>185</v>
      </c>
      <c r="B162">
        <v>35.599998474121094</v>
      </c>
    </row>
    <row r="163" spans="1:2" x14ac:dyDescent="0.25">
      <c r="A163" s="9" t="s">
        <v>186</v>
      </c>
      <c r="B163">
        <v>36.400001525878906</v>
      </c>
    </row>
    <row r="164" spans="1:2" x14ac:dyDescent="0.25">
      <c r="A164" s="9" t="s">
        <v>187</v>
      </c>
      <c r="B164">
        <v>36.400001525878906</v>
      </c>
    </row>
    <row r="165" spans="1:2" x14ac:dyDescent="0.25">
      <c r="A165" s="9" t="s">
        <v>188</v>
      </c>
      <c r="B165">
        <v>35.799999237060547</v>
      </c>
    </row>
    <row r="166" spans="1:2" x14ac:dyDescent="0.25">
      <c r="A166" s="9" t="s">
        <v>189</v>
      </c>
      <c r="B166">
        <v>36</v>
      </c>
    </row>
    <row r="167" spans="1:2" x14ac:dyDescent="0.25">
      <c r="A167" s="9" t="s">
        <v>190</v>
      </c>
      <c r="B167">
        <v>36.400001525878906</v>
      </c>
    </row>
    <row r="168" spans="1:2" x14ac:dyDescent="0.25">
      <c r="A168" s="9" t="s">
        <v>191</v>
      </c>
      <c r="B168">
        <v>36.200000762939453</v>
      </c>
    </row>
    <row r="169" spans="1:2" x14ac:dyDescent="0.25">
      <c r="A169" s="9" t="s">
        <v>192</v>
      </c>
      <c r="B169">
        <v>35.599998474121094</v>
      </c>
    </row>
    <row r="170" spans="1:2" x14ac:dyDescent="0.25">
      <c r="A170" s="9" t="s">
        <v>193</v>
      </c>
      <c r="B170">
        <v>36.400001525878906</v>
      </c>
    </row>
    <row r="171" spans="1:2" x14ac:dyDescent="0.25">
      <c r="A171" s="9" t="s">
        <v>194</v>
      </c>
      <c r="B171">
        <v>36.400001525878906</v>
      </c>
    </row>
    <row r="172" spans="1:2" x14ac:dyDescent="0.25">
      <c r="A172" s="9" t="s">
        <v>195</v>
      </c>
      <c r="B172">
        <v>36</v>
      </c>
    </row>
    <row r="173" spans="1:2" x14ac:dyDescent="0.25">
      <c r="A173" s="9" t="s">
        <v>196</v>
      </c>
      <c r="B173">
        <v>35.799999237060547</v>
      </c>
    </row>
    <row r="174" spans="1:2" x14ac:dyDescent="0.25">
      <c r="A174" s="9" t="s">
        <v>197</v>
      </c>
      <c r="B174">
        <v>36.400001525878906</v>
      </c>
    </row>
    <row r="175" spans="1:2" x14ac:dyDescent="0.25">
      <c r="A175" s="9" t="s">
        <v>198</v>
      </c>
      <c r="B175">
        <v>36.200000762939453</v>
      </c>
    </row>
    <row r="176" spans="1:2" x14ac:dyDescent="0.25">
      <c r="A176" s="9" t="s">
        <v>199</v>
      </c>
      <c r="B176">
        <v>35.799999237060547</v>
      </c>
    </row>
    <row r="177" spans="1:2" x14ac:dyDescent="0.25">
      <c r="A177" s="9" t="s">
        <v>200</v>
      </c>
      <c r="B177">
        <v>36.200000762939453</v>
      </c>
    </row>
    <row r="178" spans="1:2" x14ac:dyDescent="0.25">
      <c r="A178" s="9" t="s">
        <v>201</v>
      </c>
      <c r="B178">
        <v>36.400001525878906</v>
      </c>
    </row>
    <row r="179" spans="1:2" x14ac:dyDescent="0.25">
      <c r="A179" s="9" t="s">
        <v>202</v>
      </c>
      <c r="B179">
        <v>36.200000762939453</v>
      </c>
    </row>
    <row r="180" spans="1:2" x14ac:dyDescent="0.25">
      <c r="A180" s="9" t="s">
        <v>203</v>
      </c>
      <c r="B180">
        <v>35.599998474121094</v>
      </c>
    </row>
    <row r="181" spans="1:2" x14ac:dyDescent="0.25">
      <c r="A181" s="9" t="s">
        <v>204</v>
      </c>
      <c r="B181">
        <v>36.400001525878906</v>
      </c>
    </row>
    <row r="182" spans="1:2" x14ac:dyDescent="0.25">
      <c r="A182" s="9" t="s">
        <v>205</v>
      </c>
      <c r="B182">
        <v>36.400001525878906</v>
      </c>
    </row>
    <row r="183" spans="1:2" x14ac:dyDescent="0.25">
      <c r="A183" s="9" t="s">
        <v>206</v>
      </c>
      <c r="B183">
        <v>36</v>
      </c>
    </row>
    <row r="184" spans="1:2" x14ac:dyDescent="0.25">
      <c r="A184" s="9" t="s">
        <v>207</v>
      </c>
      <c r="B184">
        <v>36</v>
      </c>
    </row>
    <row r="185" spans="1:2" x14ac:dyDescent="0.25">
      <c r="A185" s="9" t="s">
        <v>208</v>
      </c>
      <c r="B185">
        <v>36.400001525878906</v>
      </c>
    </row>
    <row r="186" spans="1:2" x14ac:dyDescent="0.25">
      <c r="A186" s="9" t="s">
        <v>209</v>
      </c>
      <c r="B186">
        <v>36.200000762939453</v>
      </c>
    </row>
    <row r="187" spans="1:2" x14ac:dyDescent="0.25">
      <c r="A187" s="9" t="s">
        <v>210</v>
      </c>
      <c r="B187">
        <v>35.799999237060547</v>
      </c>
    </row>
    <row r="188" spans="1:2" x14ac:dyDescent="0.25">
      <c r="A188" s="9" t="s">
        <v>211</v>
      </c>
      <c r="B188">
        <v>36.200000762939453</v>
      </c>
    </row>
    <row r="189" spans="1:2" x14ac:dyDescent="0.25">
      <c r="A189" s="9" t="s">
        <v>212</v>
      </c>
      <c r="B189">
        <v>36.400001525878906</v>
      </c>
    </row>
    <row r="190" spans="1:2" x14ac:dyDescent="0.25">
      <c r="A190" s="9" t="s">
        <v>213</v>
      </c>
      <c r="B190">
        <v>36.200000762939453</v>
      </c>
    </row>
    <row r="191" spans="1:2" x14ac:dyDescent="0.25">
      <c r="A191" s="9" t="s">
        <v>214</v>
      </c>
      <c r="B191">
        <v>35.599998474121094</v>
      </c>
    </row>
    <row r="192" spans="1:2" x14ac:dyDescent="0.25">
      <c r="A192" s="9" t="s">
        <v>215</v>
      </c>
      <c r="B192">
        <v>36.200000762939453</v>
      </c>
    </row>
    <row r="193" spans="1:2" x14ac:dyDescent="0.25">
      <c r="A193" s="9" t="s">
        <v>216</v>
      </c>
      <c r="B193">
        <v>35.799999237060547</v>
      </c>
    </row>
    <row r="194" spans="1:2" x14ac:dyDescent="0.25">
      <c r="A194" s="9" t="s">
        <v>217</v>
      </c>
      <c r="B194">
        <v>36.200000762939453</v>
      </c>
    </row>
    <row r="195" spans="1:2" x14ac:dyDescent="0.25">
      <c r="A195" s="9" t="s">
        <v>218</v>
      </c>
      <c r="B195">
        <v>36.400001525878906</v>
      </c>
    </row>
    <row r="196" spans="1:2" x14ac:dyDescent="0.25">
      <c r="A196" s="9" t="s">
        <v>219</v>
      </c>
      <c r="B196">
        <v>35</v>
      </c>
    </row>
    <row r="197" spans="1:2" x14ac:dyDescent="0.25">
      <c r="A197" s="9" t="s">
        <v>220</v>
      </c>
      <c r="B197">
        <v>35</v>
      </c>
    </row>
    <row r="198" spans="1:2" x14ac:dyDescent="0.25">
      <c r="A198" s="9" t="s">
        <v>221</v>
      </c>
      <c r="B198">
        <v>35</v>
      </c>
    </row>
    <row r="199" spans="1:2" x14ac:dyDescent="0.25">
      <c r="A199" s="9" t="s">
        <v>222</v>
      </c>
      <c r="B199">
        <v>35</v>
      </c>
    </row>
    <row r="200" spans="1:2" x14ac:dyDescent="0.25">
      <c r="A200" s="9" t="s">
        <v>223</v>
      </c>
      <c r="B200">
        <v>35</v>
      </c>
    </row>
    <row r="201" spans="1:2" x14ac:dyDescent="0.25">
      <c r="A201" s="9" t="s">
        <v>224</v>
      </c>
      <c r="B201">
        <v>35</v>
      </c>
    </row>
    <row r="202" spans="1:2" x14ac:dyDescent="0.25">
      <c r="A202" s="9" t="s">
        <v>225</v>
      </c>
      <c r="B202">
        <v>35</v>
      </c>
    </row>
    <row r="203" spans="1:2" x14ac:dyDescent="0.25">
      <c r="A203" s="9" t="s">
        <v>226</v>
      </c>
      <c r="B203">
        <v>35</v>
      </c>
    </row>
    <row r="204" spans="1:2" x14ac:dyDescent="0.25">
      <c r="A204" s="9" t="s">
        <v>227</v>
      </c>
      <c r="B204">
        <v>35</v>
      </c>
    </row>
    <row r="205" spans="1:2" x14ac:dyDescent="0.25">
      <c r="A205" s="9" t="s">
        <v>228</v>
      </c>
      <c r="B205">
        <v>35</v>
      </c>
    </row>
    <row r="206" spans="1:2" x14ac:dyDescent="0.25">
      <c r="A206" s="9" t="s">
        <v>229</v>
      </c>
      <c r="B206">
        <v>35</v>
      </c>
    </row>
    <row r="207" spans="1:2" x14ac:dyDescent="0.25">
      <c r="A207" s="9" t="s">
        <v>230</v>
      </c>
      <c r="B207">
        <v>35</v>
      </c>
    </row>
    <row r="208" spans="1:2" x14ac:dyDescent="0.25">
      <c r="A208" s="9" t="s">
        <v>231</v>
      </c>
      <c r="B208">
        <v>35</v>
      </c>
    </row>
    <row r="209" spans="1:2" x14ac:dyDescent="0.25">
      <c r="A209" s="9" t="s">
        <v>232</v>
      </c>
      <c r="B209">
        <v>35</v>
      </c>
    </row>
    <row r="210" spans="1:2" x14ac:dyDescent="0.25">
      <c r="A210" s="9" t="s">
        <v>233</v>
      </c>
      <c r="B210" t="e">
        <f>NA()</f>
        <v>#N/A</v>
      </c>
    </row>
    <row r="211" spans="1:2" x14ac:dyDescent="0.25">
      <c r="A211" s="9" t="s">
        <v>234</v>
      </c>
      <c r="B211">
        <v>35</v>
      </c>
    </row>
    <row r="212" spans="1:2" x14ac:dyDescent="0.25">
      <c r="A212" s="9" t="s">
        <v>235</v>
      </c>
      <c r="B212">
        <v>35</v>
      </c>
    </row>
    <row r="213" spans="1:2" x14ac:dyDescent="0.25">
      <c r="A213" s="9" t="s">
        <v>236</v>
      </c>
      <c r="B213">
        <v>35</v>
      </c>
    </row>
    <row r="214" spans="1:2" x14ac:dyDescent="0.25">
      <c r="A214" s="9" t="s">
        <v>237</v>
      </c>
      <c r="B214">
        <v>35</v>
      </c>
    </row>
    <row r="215" spans="1:2" x14ac:dyDescent="0.25">
      <c r="A215" s="9" t="s">
        <v>238</v>
      </c>
      <c r="B215">
        <v>35</v>
      </c>
    </row>
    <row r="216" spans="1:2" x14ac:dyDescent="0.25">
      <c r="A216" s="9" t="s">
        <v>239</v>
      </c>
      <c r="B216">
        <v>35</v>
      </c>
    </row>
    <row r="217" spans="1:2" x14ac:dyDescent="0.25">
      <c r="A217" s="9" t="s">
        <v>240</v>
      </c>
      <c r="B217">
        <v>35</v>
      </c>
    </row>
    <row r="218" spans="1:2" x14ac:dyDescent="0.25">
      <c r="A218" s="9" t="s">
        <v>241</v>
      </c>
      <c r="B218">
        <v>35</v>
      </c>
    </row>
    <row r="219" spans="1:2" x14ac:dyDescent="0.25">
      <c r="A219" s="9" t="s">
        <v>242</v>
      </c>
      <c r="B219">
        <v>35</v>
      </c>
    </row>
    <row r="220" spans="1:2" x14ac:dyDescent="0.25">
      <c r="A220" s="9" t="s">
        <v>243</v>
      </c>
      <c r="B220">
        <v>35</v>
      </c>
    </row>
    <row r="221" spans="1:2" x14ac:dyDescent="0.25">
      <c r="A221" s="9" t="s">
        <v>244</v>
      </c>
      <c r="B221">
        <v>35</v>
      </c>
    </row>
    <row r="222" spans="1:2" x14ac:dyDescent="0.25">
      <c r="A222" s="9" t="s">
        <v>245</v>
      </c>
      <c r="B222">
        <v>35</v>
      </c>
    </row>
    <row r="223" spans="1:2" x14ac:dyDescent="0.25">
      <c r="A223" s="9" t="s">
        <v>246</v>
      </c>
      <c r="B223">
        <v>35</v>
      </c>
    </row>
    <row r="224" spans="1:2" x14ac:dyDescent="0.25">
      <c r="A224" s="9" t="s">
        <v>247</v>
      </c>
      <c r="B224">
        <v>35</v>
      </c>
    </row>
    <row r="225" spans="1:2" x14ac:dyDescent="0.25">
      <c r="A225" s="9" t="s">
        <v>248</v>
      </c>
      <c r="B225">
        <v>35</v>
      </c>
    </row>
    <row r="226" spans="1:2" x14ac:dyDescent="0.25">
      <c r="A226" s="9" t="s">
        <v>249</v>
      </c>
      <c r="B226">
        <v>35</v>
      </c>
    </row>
    <row r="227" spans="1:2" x14ac:dyDescent="0.25">
      <c r="A227" s="9" t="s">
        <v>250</v>
      </c>
      <c r="B227">
        <v>34.799999237060547</v>
      </c>
    </row>
    <row r="228" spans="1:2" x14ac:dyDescent="0.25">
      <c r="A228" s="9" t="s">
        <v>251</v>
      </c>
      <c r="B228">
        <v>35</v>
      </c>
    </row>
    <row r="229" spans="1:2" x14ac:dyDescent="0.25">
      <c r="A229" s="9" t="s">
        <v>252</v>
      </c>
      <c r="B229">
        <v>35</v>
      </c>
    </row>
    <row r="230" spans="1:2" x14ac:dyDescent="0.25">
      <c r="A230" s="9" t="s">
        <v>253</v>
      </c>
      <c r="B230">
        <v>35</v>
      </c>
    </row>
    <row r="231" spans="1:2" x14ac:dyDescent="0.25">
      <c r="A231" s="9" t="s">
        <v>254</v>
      </c>
      <c r="B231">
        <v>35</v>
      </c>
    </row>
    <row r="232" spans="1:2" x14ac:dyDescent="0.25">
      <c r="A232" s="9" t="s">
        <v>255</v>
      </c>
      <c r="B232">
        <v>35</v>
      </c>
    </row>
    <row r="233" spans="1:2" x14ac:dyDescent="0.25">
      <c r="A233" s="9" t="s">
        <v>256</v>
      </c>
      <c r="B233">
        <v>35</v>
      </c>
    </row>
    <row r="234" spans="1:2" x14ac:dyDescent="0.25">
      <c r="A234" s="9" t="s">
        <v>257</v>
      </c>
      <c r="B234">
        <v>35.200000762939453</v>
      </c>
    </row>
    <row r="235" spans="1:2" x14ac:dyDescent="0.25">
      <c r="A235" s="9" t="s">
        <v>258</v>
      </c>
      <c r="B235">
        <v>35</v>
      </c>
    </row>
    <row r="236" spans="1:2" x14ac:dyDescent="0.25">
      <c r="A236" s="9" t="s">
        <v>259</v>
      </c>
      <c r="B236">
        <v>34.799999237060547</v>
      </c>
    </row>
    <row r="237" spans="1:2" x14ac:dyDescent="0.25">
      <c r="A237" s="9" t="s">
        <v>260</v>
      </c>
      <c r="B237">
        <v>35.200000762939453</v>
      </c>
    </row>
    <row r="238" spans="1:2" x14ac:dyDescent="0.25">
      <c r="A238" s="9" t="s">
        <v>261</v>
      </c>
      <c r="B238">
        <v>34.799999237060547</v>
      </c>
    </row>
    <row r="239" spans="1:2" x14ac:dyDescent="0.25">
      <c r="A239" s="9" t="s">
        <v>262</v>
      </c>
      <c r="B239">
        <v>35.200000762939453</v>
      </c>
    </row>
    <row r="240" spans="1:2" x14ac:dyDescent="0.25">
      <c r="A240" s="9" t="s">
        <v>263</v>
      </c>
      <c r="B240">
        <v>35</v>
      </c>
    </row>
    <row r="241" spans="1:2" x14ac:dyDescent="0.25">
      <c r="A241" s="9" t="s">
        <v>264</v>
      </c>
      <c r="B241">
        <v>34.599998474121094</v>
      </c>
    </row>
    <row r="242" spans="1:2" x14ac:dyDescent="0.25">
      <c r="A242" s="9" t="s">
        <v>265</v>
      </c>
      <c r="B242">
        <v>35</v>
      </c>
    </row>
    <row r="243" spans="1:2" x14ac:dyDescent="0.25">
      <c r="A243" s="9" t="s">
        <v>266</v>
      </c>
      <c r="B243">
        <v>35.599998474121094</v>
      </c>
    </row>
    <row r="244" spans="1:2" x14ac:dyDescent="0.25">
      <c r="A244" s="9" t="s">
        <v>267</v>
      </c>
      <c r="B244">
        <v>35.599998474121094</v>
      </c>
    </row>
    <row r="245" spans="1:2" x14ac:dyDescent="0.25">
      <c r="A245" s="9" t="s">
        <v>268</v>
      </c>
      <c r="B245">
        <v>35</v>
      </c>
    </row>
    <row r="246" spans="1:2" x14ac:dyDescent="0.25">
      <c r="A246" s="9" t="s">
        <v>269</v>
      </c>
      <c r="B246">
        <v>34.799999237060547</v>
      </c>
    </row>
    <row r="247" spans="1:2" x14ac:dyDescent="0.25">
      <c r="A247" s="9" t="s">
        <v>270</v>
      </c>
      <c r="B247">
        <v>35.400001525878906</v>
      </c>
    </row>
    <row r="248" spans="1:2" x14ac:dyDescent="0.25">
      <c r="A248" s="9" t="s">
        <v>271</v>
      </c>
      <c r="B248">
        <v>35.599998474121094</v>
      </c>
    </row>
    <row r="249" spans="1:2" x14ac:dyDescent="0.25">
      <c r="A249" s="9" t="s">
        <v>272</v>
      </c>
      <c r="B249">
        <v>35.200000762939453</v>
      </c>
    </row>
    <row r="250" spans="1:2" x14ac:dyDescent="0.25">
      <c r="A250" s="9" t="s">
        <v>273</v>
      </c>
      <c r="B250">
        <v>34.599998474121094</v>
      </c>
    </row>
    <row r="251" spans="1:2" x14ac:dyDescent="0.25">
      <c r="A251" s="9" t="s">
        <v>274</v>
      </c>
      <c r="B251">
        <v>34.799999237060547</v>
      </c>
    </row>
    <row r="252" spans="1:2" x14ac:dyDescent="0.25">
      <c r="A252" s="9" t="s">
        <v>275</v>
      </c>
      <c r="B252">
        <v>35.400001525878906</v>
      </c>
    </row>
    <row r="253" spans="1:2" x14ac:dyDescent="0.25">
      <c r="A253" s="9" t="s">
        <v>276</v>
      </c>
      <c r="B253">
        <v>35.400001525878906</v>
      </c>
    </row>
    <row r="254" spans="1:2" x14ac:dyDescent="0.25">
      <c r="A254" s="9" t="s">
        <v>277</v>
      </c>
      <c r="B254">
        <v>35.200000762939453</v>
      </c>
    </row>
    <row r="255" spans="1:2" x14ac:dyDescent="0.25">
      <c r="A255" s="9" t="s">
        <v>278</v>
      </c>
      <c r="B255">
        <v>34.799999237060547</v>
      </c>
    </row>
    <row r="256" spans="1:2" x14ac:dyDescent="0.25">
      <c r="A256" s="9" t="s">
        <v>279</v>
      </c>
      <c r="B256">
        <v>35.200000762939453</v>
      </c>
    </row>
    <row r="257" spans="1:2" x14ac:dyDescent="0.25">
      <c r="A257" s="9" t="s">
        <v>280</v>
      </c>
      <c r="B257">
        <v>35.400001525878906</v>
      </c>
    </row>
    <row r="258" spans="1:2" x14ac:dyDescent="0.25">
      <c r="A258" s="9" t="s">
        <v>281</v>
      </c>
      <c r="B258">
        <v>35.400001525878906</v>
      </c>
    </row>
    <row r="259" spans="1:2" x14ac:dyDescent="0.25">
      <c r="A259" s="9" t="s">
        <v>282</v>
      </c>
      <c r="B259">
        <v>35</v>
      </c>
    </row>
    <row r="260" spans="1:2" x14ac:dyDescent="0.25">
      <c r="A260" s="9" t="s">
        <v>283</v>
      </c>
      <c r="B260">
        <v>34.799999237060547</v>
      </c>
    </row>
    <row r="261" spans="1:2" x14ac:dyDescent="0.25">
      <c r="A261" s="9" t="s">
        <v>284</v>
      </c>
      <c r="B261">
        <v>35.200000762939453</v>
      </c>
    </row>
    <row r="262" spans="1:2" x14ac:dyDescent="0.25">
      <c r="A262" s="9" t="s">
        <v>285</v>
      </c>
      <c r="B262">
        <v>35.400001525878906</v>
      </c>
    </row>
    <row r="263" spans="1:2" x14ac:dyDescent="0.25">
      <c r="A263" s="9" t="s">
        <v>286</v>
      </c>
      <c r="B263">
        <v>35.200000762939453</v>
      </c>
    </row>
    <row r="264" spans="1:2" x14ac:dyDescent="0.25">
      <c r="A264" s="9" t="s">
        <v>287</v>
      </c>
      <c r="B264">
        <v>34.799999237060547</v>
      </c>
    </row>
    <row r="265" spans="1:2" x14ac:dyDescent="0.25">
      <c r="A265" s="9" t="s">
        <v>288</v>
      </c>
      <c r="B265">
        <v>35.200000762939453</v>
      </c>
    </row>
    <row r="266" spans="1:2" x14ac:dyDescent="0.25">
      <c r="A266" s="9" t="s">
        <v>289</v>
      </c>
      <c r="B266">
        <v>35.400001525878906</v>
      </c>
    </row>
    <row r="267" spans="1:2" x14ac:dyDescent="0.25">
      <c r="A267" s="9" t="s">
        <v>290</v>
      </c>
      <c r="B267">
        <v>35.200000762939453</v>
      </c>
    </row>
    <row r="268" spans="1:2" x14ac:dyDescent="0.25">
      <c r="A268" s="9" t="s">
        <v>291</v>
      </c>
      <c r="B268">
        <v>34.799999237060547</v>
      </c>
    </row>
    <row r="269" spans="1:2" x14ac:dyDescent="0.25">
      <c r="A269" s="9" t="s">
        <v>292</v>
      </c>
      <c r="B269">
        <v>35</v>
      </c>
    </row>
    <row r="270" spans="1:2" x14ac:dyDescent="0.25">
      <c r="A270" s="9" t="s">
        <v>293</v>
      </c>
      <c r="B270">
        <v>35.400001525878906</v>
      </c>
    </row>
    <row r="271" spans="1:2" x14ac:dyDescent="0.25">
      <c r="A271" s="9" t="s">
        <v>294</v>
      </c>
      <c r="B271">
        <v>35.400001525878906</v>
      </c>
    </row>
    <row r="272" spans="1:2" x14ac:dyDescent="0.25">
      <c r="A272" s="9" t="s">
        <v>295</v>
      </c>
      <c r="B272">
        <v>35</v>
      </c>
    </row>
    <row r="273" spans="1:2" x14ac:dyDescent="0.25">
      <c r="A273" s="9" t="s">
        <v>296</v>
      </c>
      <c r="B273">
        <v>34.799999237060547</v>
      </c>
    </row>
    <row r="274" spans="1:2" x14ac:dyDescent="0.25">
      <c r="A274" s="9" t="s">
        <v>297</v>
      </c>
      <c r="B274">
        <v>35.200000762939453</v>
      </c>
    </row>
    <row r="275" spans="1:2" x14ac:dyDescent="0.25">
      <c r="A275" s="9" t="s">
        <v>298</v>
      </c>
      <c r="B275">
        <v>35.400001525878906</v>
      </c>
    </row>
    <row r="276" spans="1:2" x14ac:dyDescent="0.25">
      <c r="A276" s="9" t="s">
        <v>299</v>
      </c>
      <c r="B276">
        <v>35</v>
      </c>
    </row>
    <row r="277" spans="1:2" x14ac:dyDescent="0.25">
      <c r="A277" s="9" t="s">
        <v>300</v>
      </c>
      <c r="B277">
        <v>34.799999237060547</v>
      </c>
    </row>
    <row r="278" spans="1:2" x14ac:dyDescent="0.25">
      <c r="A278" s="9" t="s">
        <v>301</v>
      </c>
      <c r="B278">
        <v>35.200000762939453</v>
      </c>
    </row>
    <row r="279" spans="1:2" x14ac:dyDescent="0.25">
      <c r="A279" s="9" t="s">
        <v>302</v>
      </c>
      <c r="B279">
        <v>35.400001525878906</v>
      </c>
    </row>
    <row r="280" spans="1:2" x14ac:dyDescent="0.25">
      <c r="A280" s="9" t="s">
        <v>303</v>
      </c>
      <c r="B280">
        <v>35.200000762939453</v>
      </c>
    </row>
    <row r="281" spans="1:2" x14ac:dyDescent="0.25">
      <c r="A281" s="9" t="s">
        <v>304</v>
      </c>
      <c r="B281">
        <v>34.799999237060547</v>
      </c>
    </row>
    <row r="282" spans="1:2" x14ac:dyDescent="0.25">
      <c r="A282" s="9" t="s">
        <v>305</v>
      </c>
      <c r="B282">
        <v>35.200000762939453</v>
      </c>
    </row>
    <row r="283" spans="1:2" x14ac:dyDescent="0.25">
      <c r="A283" s="9" t="s">
        <v>306</v>
      </c>
      <c r="B283">
        <v>35.400001525878906</v>
      </c>
    </row>
    <row r="284" spans="1:2" x14ac:dyDescent="0.25">
      <c r="A284" s="9" t="s">
        <v>307</v>
      </c>
      <c r="B284">
        <v>35.200000762939453</v>
      </c>
    </row>
    <row r="285" spans="1:2" x14ac:dyDescent="0.25">
      <c r="A285" s="9" t="s">
        <v>308</v>
      </c>
      <c r="B285">
        <v>34.799999237060547</v>
      </c>
    </row>
    <row r="286" spans="1:2" x14ac:dyDescent="0.25">
      <c r="A286" s="9" t="s">
        <v>309</v>
      </c>
      <c r="B286">
        <v>35</v>
      </c>
    </row>
    <row r="287" spans="1:2" x14ac:dyDescent="0.25">
      <c r="A287" s="9" t="s">
        <v>310</v>
      </c>
      <c r="B287">
        <v>35.400001525878906</v>
      </c>
    </row>
    <row r="288" spans="1:2" x14ac:dyDescent="0.25">
      <c r="A288" s="9" t="s">
        <v>311</v>
      </c>
      <c r="B288">
        <v>35.200000762939453</v>
      </c>
    </row>
    <row r="289" spans="1:2" x14ac:dyDescent="0.25">
      <c r="A289" s="9" t="s">
        <v>312</v>
      </c>
      <c r="B289">
        <v>35</v>
      </c>
    </row>
    <row r="290" spans="1:2" x14ac:dyDescent="0.25">
      <c r="A290" s="9" t="s">
        <v>313</v>
      </c>
      <c r="B290">
        <v>34.799999237060547</v>
      </c>
    </row>
    <row r="291" spans="1:2" x14ac:dyDescent="0.25">
      <c r="A291" s="9" t="s">
        <v>314</v>
      </c>
      <c r="B291">
        <v>35.200000762939453</v>
      </c>
    </row>
    <row r="292" spans="1:2" x14ac:dyDescent="0.25">
      <c r="A292" s="9" t="s">
        <v>315</v>
      </c>
      <c r="B292">
        <v>35.200000762939453</v>
      </c>
    </row>
    <row r="293" spans="1:2" x14ac:dyDescent="0.25">
      <c r="A293" s="9" t="s">
        <v>316</v>
      </c>
      <c r="B293">
        <v>29.600000381469727</v>
      </c>
    </row>
    <row r="294" spans="1:2" x14ac:dyDescent="0.25">
      <c r="A294" s="9" t="s">
        <v>317</v>
      </c>
      <c r="B294">
        <v>29.600000381469727</v>
      </c>
    </row>
    <row r="295" spans="1:2" x14ac:dyDescent="0.25">
      <c r="A295" s="9" t="s">
        <v>318</v>
      </c>
      <c r="B295">
        <v>29.799999237060547</v>
      </c>
    </row>
    <row r="296" spans="1:2" x14ac:dyDescent="0.25">
      <c r="A296" s="9" t="s">
        <v>319</v>
      </c>
      <c r="B296">
        <v>29.799999237060547</v>
      </c>
    </row>
    <row r="297" spans="1:2" x14ac:dyDescent="0.25">
      <c r="A297" s="9" t="s">
        <v>320</v>
      </c>
      <c r="B297">
        <v>29.799999237060547</v>
      </c>
    </row>
    <row r="298" spans="1:2" x14ac:dyDescent="0.25">
      <c r="A298" s="9" t="s">
        <v>321</v>
      </c>
      <c r="B298">
        <v>29.799999237060547</v>
      </c>
    </row>
    <row r="299" spans="1:2" x14ac:dyDescent="0.25">
      <c r="A299" s="9" t="s">
        <v>322</v>
      </c>
      <c r="B299">
        <v>29.600000381469727</v>
      </c>
    </row>
    <row r="300" spans="1:2" x14ac:dyDescent="0.25">
      <c r="A300" s="9" t="s">
        <v>323</v>
      </c>
      <c r="B300">
        <v>29.600000381469727</v>
      </c>
    </row>
    <row r="301" spans="1:2" x14ac:dyDescent="0.25">
      <c r="A301" s="9" t="s">
        <v>324</v>
      </c>
      <c r="B301">
        <v>29.799999237060547</v>
      </c>
    </row>
    <row r="302" spans="1:2" x14ac:dyDescent="0.25">
      <c r="A302" s="9" t="s">
        <v>325</v>
      </c>
      <c r="B302">
        <v>29.600000381469727</v>
      </c>
    </row>
    <row r="303" spans="1:2" x14ac:dyDescent="0.25">
      <c r="A303" s="9" t="s">
        <v>326</v>
      </c>
      <c r="B303">
        <v>29.799999237060547</v>
      </c>
    </row>
    <row r="304" spans="1:2" x14ac:dyDescent="0.25">
      <c r="A304" s="9" t="s">
        <v>327</v>
      </c>
      <c r="B304">
        <v>29.600000381469727</v>
      </c>
    </row>
    <row r="305" spans="1:2" x14ac:dyDescent="0.25">
      <c r="A305" s="9" t="s">
        <v>328</v>
      </c>
      <c r="B305">
        <v>29.600000381469727</v>
      </c>
    </row>
    <row r="306" spans="1:2" x14ac:dyDescent="0.25">
      <c r="A306" s="9" t="s">
        <v>329</v>
      </c>
      <c r="B306">
        <v>29.600000381469727</v>
      </c>
    </row>
    <row r="307" spans="1:2" x14ac:dyDescent="0.25">
      <c r="A307" s="9" t="s">
        <v>330</v>
      </c>
      <c r="B307">
        <v>29.600000381469727</v>
      </c>
    </row>
    <row r="308" spans="1:2" x14ac:dyDescent="0.25">
      <c r="A308" s="9" t="s">
        <v>331</v>
      </c>
      <c r="B308">
        <v>29.600000381469727</v>
      </c>
    </row>
    <row r="309" spans="1:2" x14ac:dyDescent="0.25">
      <c r="A309" s="9" t="s">
        <v>332</v>
      </c>
      <c r="B309">
        <v>29.600000381469727</v>
      </c>
    </row>
    <row r="310" spans="1:2" x14ac:dyDescent="0.25">
      <c r="A310" s="9" t="s">
        <v>333</v>
      </c>
      <c r="B310">
        <v>29.600000381469727</v>
      </c>
    </row>
    <row r="311" spans="1:2" x14ac:dyDescent="0.25">
      <c r="A311" s="9" t="s">
        <v>334</v>
      </c>
      <c r="B311">
        <v>29.799999237060547</v>
      </c>
    </row>
    <row r="312" spans="1:2" x14ac:dyDescent="0.25">
      <c r="A312" s="9" t="s">
        <v>335</v>
      </c>
      <c r="B312">
        <v>29.600000381469727</v>
      </c>
    </row>
    <row r="313" spans="1:2" x14ac:dyDescent="0.25">
      <c r="A313" s="9" t="s">
        <v>336</v>
      </c>
      <c r="B313">
        <v>29.799999237060547</v>
      </c>
    </row>
    <row r="314" spans="1:2" x14ac:dyDescent="0.25">
      <c r="A314" s="9" t="s">
        <v>337</v>
      </c>
      <c r="B314">
        <v>29.600000381469727</v>
      </c>
    </row>
    <row r="315" spans="1:2" x14ac:dyDescent="0.25">
      <c r="A315" s="9" t="s">
        <v>338</v>
      </c>
      <c r="B315">
        <v>29.799999237060547</v>
      </c>
    </row>
    <row r="316" spans="1:2" x14ac:dyDescent="0.25">
      <c r="A316" s="9" t="s">
        <v>339</v>
      </c>
      <c r="B316">
        <v>29.600000381469727</v>
      </c>
    </row>
    <row r="317" spans="1:2" x14ac:dyDescent="0.25">
      <c r="A317" s="9" t="s">
        <v>340</v>
      </c>
      <c r="B317">
        <v>29.600000381469727</v>
      </c>
    </row>
    <row r="318" spans="1:2" x14ac:dyDescent="0.25">
      <c r="A318" s="9" t="s">
        <v>341</v>
      </c>
      <c r="B318">
        <v>29.600000381469727</v>
      </c>
    </row>
    <row r="319" spans="1:2" x14ac:dyDescent="0.25">
      <c r="A319" s="9" t="s">
        <v>342</v>
      </c>
      <c r="B319">
        <v>29.600000381469727</v>
      </c>
    </row>
    <row r="320" spans="1:2" x14ac:dyDescent="0.25">
      <c r="A320" s="9" t="s">
        <v>343</v>
      </c>
      <c r="B320">
        <v>29.799999237060547</v>
      </c>
    </row>
    <row r="321" spans="1:2" x14ac:dyDescent="0.25">
      <c r="A321" s="9" t="s">
        <v>344</v>
      </c>
      <c r="B321">
        <v>29.600000381469727</v>
      </c>
    </row>
    <row r="322" spans="1:2" x14ac:dyDescent="0.25">
      <c r="A322" s="9" t="s">
        <v>345</v>
      </c>
      <c r="B322">
        <v>29.600000381469727</v>
      </c>
    </row>
    <row r="323" spans="1:2" x14ac:dyDescent="0.25">
      <c r="A323" s="9" t="s">
        <v>346</v>
      </c>
      <c r="B323">
        <v>29.600000381469727</v>
      </c>
    </row>
    <row r="324" spans="1:2" x14ac:dyDescent="0.25">
      <c r="A324" s="9" t="s">
        <v>347</v>
      </c>
      <c r="B324">
        <v>29.600000381469727</v>
      </c>
    </row>
    <row r="325" spans="1:2" x14ac:dyDescent="0.25">
      <c r="A325" s="9" t="s">
        <v>348</v>
      </c>
      <c r="B325">
        <v>29.600000381469727</v>
      </c>
    </row>
    <row r="326" spans="1:2" x14ac:dyDescent="0.25">
      <c r="A326" s="9" t="s">
        <v>349</v>
      </c>
      <c r="B326">
        <v>29.600000381469727</v>
      </c>
    </row>
    <row r="327" spans="1:2" x14ac:dyDescent="0.25">
      <c r="A327" s="9" t="s">
        <v>350</v>
      </c>
      <c r="B327">
        <v>29.799999237060547</v>
      </c>
    </row>
    <row r="328" spans="1:2" x14ac:dyDescent="0.25">
      <c r="A328" s="9" t="s">
        <v>351</v>
      </c>
      <c r="B328">
        <v>29.600000381469727</v>
      </c>
    </row>
    <row r="329" spans="1:2" x14ac:dyDescent="0.25">
      <c r="A329" s="9" t="s">
        <v>352</v>
      </c>
      <c r="B329">
        <v>29.600000381469727</v>
      </c>
    </row>
    <row r="330" spans="1:2" x14ac:dyDescent="0.25">
      <c r="A330" s="9" t="s">
        <v>353</v>
      </c>
      <c r="B330">
        <v>29.600000381469727</v>
      </c>
    </row>
    <row r="331" spans="1:2" x14ac:dyDescent="0.25">
      <c r="A331" s="9" t="s">
        <v>354</v>
      </c>
      <c r="B331">
        <v>29.600000381469727</v>
      </c>
    </row>
    <row r="332" spans="1:2" x14ac:dyDescent="0.25">
      <c r="A332" s="9" t="s">
        <v>355</v>
      </c>
      <c r="B332">
        <v>29.600000381469727</v>
      </c>
    </row>
    <row r="333" spans="1:2" x14ac:dyDescent="0.25">
      <c r="A333" s="9" t="s">
        <v>356</v>
      </c>
      <c r="B333">
        <v>29.600000381469727</v>
      </c>
    </row>
    <row r="334" spans="1:2" x14ac:dyDescent="0.25">
      <c r="A334" s="9" t="s">
        <v>357</v>
      </c>
      <c r="B334">
        <v>29.600000381469727</v>
      </c>
    </row>
    <row r="335" spans="1:2" x14ac:dyDescent="0.25">
      <c r="A335" s="9" t="s">
        <v>358</v>
      </c>
      <c r="B335">
        <v>29.600000381469727</v>
      </c>
    </row>
    <row r="336" spans="1:2" x14ac:dyDescent="0.25">
      <c r="A336" s="9" t="s">
        <v>359</v>
      </c>
      <c r="B336">
        <v>29.600000381469727</v>
      </c>
    </row>
    <row r="337" spans="1:2" x14ac:dyDescent="0.25">
      <c r="A337" s="9" t="s">
        <v>360</v>
      </c>
      <c r="B337">
        <v>29.600000381469727</v>
      </c>
    </row>
    <row r="338" spans="1:2" x14ac:dyDescent="0.25">
      <c r="A338" s="9" t="s">
        <v>361</v>
      </c>
      <c r="B338">
        <v>29.799999237060547</v>
      </c>
    </row>
    <row r="339" spans="1:2" x14ac:dyDescent="0.25">
      <c r="A339" s="9" t="s">
        <v>362</v>
      </c>
      <c r="B339">
        <v>29.600000381469727</v>
      </c>
    </row>
    <row r="340" spans="1:2" x14ac:dyDescent="0.25">
      <c r="A340" s="9" t="s">
        <v>363</v>
      </c>
      <c r="B340">
        <v>29.600000381469727</v>
      </c>
    </row>
    <row r="341" spans="1:2" x14ac:dyDescent="0.25">
      <c r="A341" s="9" t="s">
        <v>364</v>
      </c>
      <c r="B341">
        <v>29.600000381469727</v>
      </c>
    </row>
    <row r="342" spans="1:2" x14ac:dyDescent="0.25">
      <c r="A342" s="9" t="s">
        <v>365</v>
      </c>
      <c r="B342">
        <v>29.600000381469727</v>
      </c>
    </row>
    <row r="343" spans="1:2" x14ac:dyDescent="0.25">
      <c r="A343" s="9" t="s">
        <v>366</v>
      </c>
      <c r="B343">
        <v>29.600000381469727</v>
      </c>
    </row>
    <row r="344" spans="1:2" x14ac:dyDescent="0.25">
      <c r="A344" s="9" t="s">
        <v>367</v>
      </c>
      <c r="B344">
        <v>29.600000381469727</v>
      </c>
    </row>
    <row r="345" spans="1:2" x14ac:dyDescent="0.25">
      <c r="A345" s="9" t="s">
        <v>368</v>
      </c>
      <c r="B345">
        <v>29.799999237060547</v>
      </c>
    </row>
    <row r="346" spans="1:2" x14ac:dyDescent="0.25">
      <c r="A346" s="9" t="s">
        <v>369</v>
      </c>
      <c r="B346">
        <v>29.600000381469727</v>
      </c>
    </row>
    <row r="347" spans="1:2" x14ac:dyDescent="0.25">
      <c r="A347" s="9" t="s">
        <v>370</v>
      </c>
      <c r="B347">
        <v>29.600000381469727</v>
      </c>
    </row>
    <row r="348" spans="1:2" x14ac:dyDescent="0.25">
      <c r="A348" s="9" t="s">
        <v>371</v>
      </c>
      <c r="B348">
        <v>29.799999237060547</v>
      </c>
    </row>
    <row r="349" spans="1:2" x14ac:dyDescent="0.25">
      <c r="A349" s="9" t="s">
        <v>372</v>
      </c>
      <c r="B349">
        <v>29.799999237060547</v>
      </c>
    </row>
    <row r="350" spans="1:2" x14ac:dyDescent="0.25">
      <c r="A350" s="9" t="s">
        <v>373</v>
      </c>
      <c r="B350">
        <v>29.600000381469727</v>
      </c>
    </row>
    <row r="351" spans="1:2" x14ac:dyDescent="0.25">
      <c r="A351" s="9" t="s">
        <v>374</v>
      </c>
      <c r="B351">
        <v>29.600000381469727</v>
      </c>
    </row>
    <row r="352" spans="1:2" x14ac:dyDescent="0.25">
      <c r="A352" s="9" t="s">
        <v>375</v>
      </c>
      <c r="B352">
        <v>29.799999237060547</v>
      </c>
    </row>
    <row r="353" spans="1:2" x14ac:dyDescent="0.25">
      <c r="A353" s="9" t="s">
        <v>376</v>
      </c>
      <c r="B353">
        <v>29.600000381469727</v>
      </c>
    </row>
    <row r="354" spans="1:2" x14ac:dyDescent="0.25">
      <c r="A354" s="9" t="s">
        <v>377</v>
      </c>
      <c r="B354">
        <v>29.600000381469727</v>
      </c>
    </row>
    <row r="355" spans="1:2" x14ac:dyDescent="0.25">
      <c r="A355" s="9" t="s">
        <v>378</v>
      </c>
      <c r="B355">
        <v>29.600000381469727</v>
      </c>
    </row>
    <row r="356" spans="1:2" x14ac:dyDescent="0.25">
      <c r="A356" s="9" t="s">
        <v>379</v>
      </c>
      <c r="B356">
        <v>29.600000381469727</v>
      </c>
    </row>
    <row r="357" spans="1:2" x14ac:dyDescent="0.25">
      <c r="A357" s="9" t="s">
        <v>380</v>
      </c>
      <c r="B357">
        <v>29.799999237060547</v>
      </c>
    </row>
    <row r="358" spans="1:2" x14ac:dyDescent="0.25">
      <c r="A358" s="9" t="s">
        <v>381</v>
      </c>
      <c r="B358">
        <v>29.600000381469727</v>
      </c>
    </row>
    <row r="359" spans="1:2" x14ac:dyDescent="0.25">
      <c r="A359" s="9" t="s">
        <v>382</v>
      </c>
      <c r="B359">
        <v>29.600000381469727</v>
      </c>
    </row>
    <row r="360" spans="1:2" x14ac:dyDescent="0.25">
      <c r="A360" s="9" t="s">
        <v>383</v>
      </c>
      <c r="B360">
        <v>29.799999237060547</v>
      </c>
    </row>
    <row r="361" spans="1:2" x14ac:dyDescent="0.25">
      <c r="A361" s="9" t="s">
        <v>384</v>
      </c>
      <c r="B361">
        <v>29.799999237060547</v>
      </c>
    </row>
    <row r="362" spans="1:2" x14ac:dyDescent="0.25">
      <c r="A362" s="9" t="s">
        <v>385</v>
      </c>
      <c r="B362">
        <v>29.600000381469727</v>
      </c>
    </row>
    <row r="363" spans="1:2" x14ac:dyDescent="0.25">
      <c r="A363" s="9" t="s">
        <v>386</v>
      </c>
      <c r="B363">
        <v>29.600000381469727</v>
      </c>
    </row>
    <row r="364" spans="1:2" x14ac:dyDescent="0.25">
      <c r="A364" s="9" t="s">
        <v>387</v>
      </c>
      <c r="B364">
        <v>29.799999237060547</v>
      </c>
    </row>
    <row r="365" spans="1:2" x14ac:dyDescent="0.25">
      <c r="A365" s="9" t="s">
        <v>388</v>
      </c>
      <c r="B365">
        <v>29.799999237060547</v>
      </c>
    </row>
    <row r="366" spans="1:2" x14ac:dyDescent="0.25">
      <c r="A366" s="9" t="s">
        <v>389</v>
      </c>
      <c r="B366">
        <v>29.600000381469727</v>
      </c>
    </row>
    <row r="367" spans="1:2" x14ac:dyDescent="0.25">
      <c r="A367" s="9" t="s">
        <v>390</v>
      </c>
      <c r="B367">
        <v>29.600000381469727</v>
      </c>
    </row>
    <row r="368" spans="1:2" x14ac:dyDescent="0.25">
      <c r="A368" s="9" t="s">
        <v>391</v>
      </c>
      <c r="B368">
        <v>29.600000381469727</v>
      </c>
    </row>
    <row r="369" spans="1:2" x14ac:dyDescent="0.25">
      <c r="A369" s="9" t="s">
        <v>392</v>
      </c>
      <c r="B369">
        <v>29.799999237060547</v>
      </c>
    </row>
    <row r="370" spans="1:2" x14ac:dyDescent="0.25">
      <c r="A370" s="9" t="s">
        <v>393</v>
      </c>
      <c r="B370">
        <v>29.600000381469727</v>
      </c>
    </row>
    <row r="371" spans="1:2" x14ac:dyDescent="0.25">
      <c r="A371" s="9" t="s">
        <v>394</v>
      </c>
      <c r="B371">
        <v>29.799999237060547</v>
      </c>
    </row>
    <row r="372" spans="1:2" x14ac:dyDescent="0.25">
      <c r="A372" s="9" t="s">
        <v>395</v>
      </c>
      <c r="B372">
        <v>29.799999237060547</v>
      </c>
    </row>
    <row r="373" spans="1:2" x14ac:dyDescent="0.25">
      <c r="A373" s="9" t="s">
        <v>396</v>
      </c>
      <c r="B373">
        <v>29.600000381469727</v>
      </c>
    </row>
    <row r="374" spans="1:2" x14ac:dyDescent="0.25">
      <c r="A374" s="9" t="s">
        <v>397</v>
      </c>
      <c r="B374">
        <v>29.600000381469727</v>
      </c>
    </row>
    <row r="375" spans="1:2" x14ac:dyDescent="0.25">
      <c r="A375" s="9" t="s">
        <v>398</v>
      </c>
      <c r="B375">
        <v>29.799999237060547</v>
      </c>
    </row>
    <row r="376" spans="1:2" x14ac:dyDescent="0.25">
      <c r="A376" s="9" t="s">
        <v>399</v>
      </c>
      <c r="B376">
        <v>29.600000381469727</v>
      </c>
    </row>
    <row r="377" spans="1:2" x14ac:dyDescent="0.25">
      <c r="A377" s="9" t="s">
        <v>400</v>
      </c>
      <c r="B377">
        <v>29.600000381469727</v>
      </c>
    </row>
    <row r="378" spans="1:2" x14ac:dyDescent="0.25">
      <c r="A378" s="9" t="s">
        <v>401</v>
      </c>
      <c r="B378">
        <v>29.799999237060547</v>
      </c>
    </row>
    <row r="379" spans="1:2" x14ac:dyDescent="0.25">
      <c r="A379" s="9" t="s">
        <v>402</v>
      </c>
      <c r="B379">
        <v>29.600000381469727</v>
      </c>
    </row>
    <row r="380" spans="1:2" x14ac:dyDescent="0.25">
      <c r="A380" s="9" t="s">
        <v>403</v>
      </c>
      <c r="B380">
        <v>29.600000381469727</v>
      </c>
    </row>
    <row r="381" spans="1:2" x14ac:dyDescent="0.25">
      <c r="A381" s="9" t="s">
        <v>404</v>
      </c>
      <c r="B381">
        <v>29.600000381469727</v>
      </c>
    </row>
    <row r="382" spans="1:2" x14ac:dyDescent="0.25">
      <c r="A382" s="9" t="s">
        <v>405</v>
      </c>
      <c r="B382">
        <v>29.600000381469727</v>
      </c>
    </row>
    <row r="383" spans="1:2" x14ac:dyDescent="0.25">
      <c r="A383" s="9" t="s">
        <v>406</v>
      </c>
      <c r="B383">
        <v>29.799999237060547</v>
      </c>
    </row>
    <row r="384" spans="1:2" x14ac:dyDescent="0.25">
      <c r="A384" s="9" t="s">
        <v>407</v>
      </c>
      <c r="B384">
        <v>29.600000381469727</v>
      </c>
    </row>
    <row r="385" spans="1:2" x14ac:dyDescent="0.25">
      <c r="A385" s="9" t="s">
        <v>408</v>
      </c>
      <c r="B385">
        <v>29.600000381469727</v>
      </c>
    </row>
    <row r="386" spans="1:2" x14ac:dyDescent="0.25">
      <c r="A386" s="9" t="s">
        <v>409</v>
      </c>
      <c r="B386">
        <v>29.600000381469727</v>
      </c>
    </row>
    <row r="387" spans="1:2" x14ac:dyDescent="0.25">
      <c r="A387" s="9" t="s">
        <v>410</v>
      </c>
      <c r="B387">
        <v>29.600000381469727</v>
      </c>
    </row>
    <row r="388" spans="1:2" x14ac:dyDescent="0.25">
      <c r="A388" s="9" t="s">
        <v>411</v>
      </c>
      <c r="B388">
        <v>29.600000381469727</v>
      </c>
    </row>
    <row r="389" spans="1:2" x14ac:dyDescent="0.25">
      <c r="A389" s="9" t="s">
        <v>412</v>
      </c>
      <c r="B389">
        <v>29.600000381469727</v>
      </c>
    </row>
    <row r="390" spans="1:2" x14ac:dyDescent="0.25">
      <c r="A390" s="9" t="s">
        <v>413</v>
      </c>
      <c r="B390">
        <v>24.799999237060547</v>
      </c>
    </row>
    <row r="391" spans="1:2" x14ac:dyDescent="0.25">
      <c r="A391" s="9" t="s">
        <v>414</v>
      </c>
      <c r="B391">
        <v>24.399999618530273</v>
      </c>
    </row>
    <row r="392" spans="1:2" x14ac:dyDescent="0.25">
      <c r="A392" s="9" t="s">
        <v>415</v>
      </c>
      <c r="B392">
        <v>24.799999237060547</v>
      </c>
    </row>
    <row r="393" spans="1:2" x14ac:dyDescent="0.25">
      <c r="A393" s="9" t="s">
        <v>416</v>
      </c>
      <c r="B393">
        <v>25</v>
      </c>
    </row>
    <row r="394" spans="1:2" x14ac:dyDescent="0.25">
      <c r="A394" s="9" t="s">
        <v>417</v>
      </c>
      <c r="B394">
        <v>25</v>
      </c>
    </row>
    <row r="395" spans="1:2" x14ac:dyDescent="0.25">
      <c r="A395" s="9" t="s">
        <v>418</v>
      </c>
      <c r="B395">
        <v>24.799999237060547</v>
      </c>
    </row>
    <row r="396" spans="1:2" x14ac:dyDescent="0.25">
      <c r="A396" s="9" t="s">
        <v>419</v>
      </c>
      <c r="B396">
        <v>24.600000381469727</v>
      </c>
    </row>
    <row r="397" spans="1:2" x14ac:dyDescent="0.25">
      <c r="A397" s="9" t="s">
        <v>420</v>
      </c>
      <c r="B397">
        <v>24.600000381469727</v>
      </c>
    </row>
    <row r="398" spans="1:2" x14ac:dyDescent="0.25">
      <c r="A398" s="9" t="s">
        <v>421</v>
      </c>
      <c r="B398">
        <v>25</v>
      </c>
    </row>
    <row r="399" spans="1:2" x14ac:dyDescent="0.25">
      <c r="A399" s="9" t="s">
        <v>422</v>
      </c>
      <c r="B399">
        <v>25</v>
      </c>
    </row>
    <row r="400" spans="1:2" x14ac:dyDescent="0.25">
      <c r="A400" s="9" t="s">
        <v>423</v>
      </c>
      <c r="B400">
        <v>24.799999237060547</v>
      </c>
    </row>
    <row r="401" spans="1:2" x14ac:dyDescent="0.25">
      <c r="A401" s="9" t="s">
        <v>424</v>
      </c>
      <c r="B401">
        <v>24.799999237060547</v>
      </c>
    </row>
    <row r="402" spans="1:2" x14ac:dyDescent="0.25">
      <c r="A402" s="9" t="s">
        <v>425</v>
      </c>
      <c r="B402">
        <v>24.399999618530273</v>
      </c>
    </row>
    <row r="403" spans="1:2" x14ac:dyDescent="0.25">
      <c r="A403" s="9" t="s">
        <v>426</v>
      </c>
      <c r="B403">
        <v>24.799999237060547</v>
      </c>
    </row>
    <row r="404" spans="1:2" x14ac:dyDescent="0.25">
      <c r="A404" s="9" t="s">
        <v>427</v>
      </c>
      <c r="B404">
        <v>25</v>
      </c>
    </row>
    <row r="405" spans="1:2" x14ac:dyDescent="0.25">
      <c r="A405" s="9" t="s">
        <v>428</v>
      </c>
      <c r="B405">
        <v>25</v>
      </c>
    </row>
    <row r="406" spans="1:2" x14ac:dyDescent="0.25">
      <c r="A406" s="9" t="s">
        <v>429</v>
      </c>
      <c r="B406">
        <v>24.799999237060547</v>
      </c>
    </row>
    <row r="407" spans="1:2" x14ac:dyDescent="0.25">
      <c r="A407" s="9" t="s">
        <v>430</v>
      </c>
      <c r="B407">
        <v>24.600000381469727</v>
      </c>
    </row>
    <row r="408" spans="1:2" x14ac:dyDescent="0.25">
      <c r="A408" s="9" t="s">
        <v>431</v>
      </c>
      <c r="B408">
        <v>24.399999618530273</v>
      </c>
    </row>
    <row r="409" spans="1:2" x14ac:dyDescent="0.25">
      <c r="A409" s="9" t="s">
        <v>432</v>
      </c>
      <c r="B409">
        <v>24.799999237060547</v>
      </c>
    </row>
    <row r="410" spans="1:2" x14ac:dyDescent="0.25">
      <c r="A410" s="9" t="s">
        <v>433</v>
      </c>
      <c r="B410">
        <v>25.200000762939453</v>
      </c>
    </row>
    <row r="411" spans="1:2" x14ac:dyDescent="0.25">
      <c r="A411" s="9" t="s">
        <v>434</v>
      </c>
      <c r="B411">
        <v>25.200000762939453</v>
      </c>
    </row>
    <row r="412" spans="1:2" x14ac:dyDescent="0.25">
      <c r="A412" s="9" t="s">
        <v>435</v>
      </c>
      <c r="B412">
        <v>25.200000762939453</v>
      </c>
    </row>
    <row r="413" spans="1:2" x14ac:dyDescent="0.25">
      <c r="A413" s="9" t="s">
        <v>436</v>
      </c>
      <c r="B413">
        <v>25.200000762939453</v>
      </c>
    </row>
    <row r="414" spans="1:2" x14ac:dyDescent="0.25">
      <c r="A414" s="9" t="s">
        <v>437</v>
      </c>
      <c r="B414">
        <v>25.200000762939453</v>
      </c>
    </row>
    <row r="415" spans="1:2" x14ac:dyDescent="0.25">
      <c r="A415" s="9" t="s">
        <v>438</v>
      </c>
      <c r="B415">
        <v>25.200000762939453</v>
      </c>
    </row>
    <row r="416" spans="1:2" x14ac:dyDescent="0.25">
      <c r="A416" s="9" t="s">
        <v>439</v>
      </c>
      <c r="B416">
        <v>25.200000762939453</v>
      </c>
    </row>
    <row r="417" spans="1:2" x14ac:dyDescent="0.25">
      <c r="A417" s="9" t="s">
        <v>440</v>
      </c>
      <c r="B417">
        <v>25.200000762939453</v>
      </c>
    </row>
    <row r="418" spans="1:2" x14ac:dyDescent="0.25">
      <c r="A418" s="9" t="s">
        <v>441</v>
      </c>
      <c r="B418">
        <v>25.200000762939453</v>
      </c>
    </row>
    <row r="419" spans="1:2" x14ac:dyDescent="0.25">
      <c r="A419" s="9" t="s">
        <v>442</v>
      </c>
      <c r="B419">
        <v>25</v>
      </c>
    </row>
    <row r="420" spans="1:2" x14ac:dyDescent="0.25">
      <c r="A420" s="9" t="s">
        <v>443</v>
      </c>
      <c r="B420">
        <v>25</v>
      </c>
    </row>
    <row r="421" spans="1:2" x14ac:dyDescent="0.25">
      <c r="A421" s="9" t="s">
        <v>444</v>
      </c>
      <c r="B421">
        <v>24.799999237060547</v>
      </c>
    </row>
    <row r="422" spans="1:2" x14ac:dyDescent="0.25">
      <c r="A422" s="9" t="s">
        <v>445</v>
      </c>
      <c r="B422">
        <v>24.799999237060547</v>
      </c>
    </row>
    <row r="423" spans="1:2" x14ac:dyDescent="0.25">
      <c r="A423" s="9" t="s">
        <v>446</v>
      </c>
      <c r="B423">
        <v>24.799999237060547</v>
      </c>
    </row>
    <row r="424" spans="1:2" x14ac:dyDescent="0.25">
      <c r="A424" s="9" t="s">
        <v>447</v>
      </c>
      <c r="B424">
        <v>24.799999237060547</v>
      </c>
    </row>
    <row r="425" spans="1:2" x14ac:dyDescent="0.25">
      <c r="A425" s="9" t="s">
        <v>448</v>
      </c>
      <c r="B425">
        <v>24.600000381469727</v>
      </c>
    </row>
    <row r="426" spans="1:2" x14ac:dyDescent="0.25">
      <c r="A426" s="9" t="s">
        <v>449</v>
      </c>
      <c r="B426">
        <v>24.600000381469727</v>
      </c>
    </row>
    <row r="427" spans="1:2" x14ac:dyDescent="0.25">
      <c r="A427" s="9" t="s">
        <v>450</v>
      </c>
      <c r="B427">
        <v>24.600000381469727</v>
      </c>
    </row>
    <row r="428" spans="1:2" x14ac:dyDescent="0.25">
      <c r="A428" s="9" t="s">
        <v>451</v>
      </c>
      <c r="B428">
        <v>24.600000381469727</v>
      </c>
    </row>
    <row r="429" spans="1:2" x14ac:dyDescent="0.25">
      <c r="A429" s="9" t="s">
        <v>452</v>
      </c>
      <c r="B429">
        <v>24.600000381469727</v>
      </c>
    </row>
    <row r="430" spans="1:2" x14ac:dyDescent="0.25">
      <c r="A430" s="9" t="s">
        <v>453</v>
      </c>
      <c r="B430">
        <v>24.600000381469727</v>
      </c>
    </row>
    <row r="431" spans="1:2" x14ac:dyDescent="0.25">
      <c r="A431" s="9" t="s">
        <v>454</v>
      </c>
      <c r="B431">
        <v>24.600000381469727</v>
      </c>
    </row>
    <row r="432" spans="1:2" x14ac:dyDescent="0.25">
      <c r="A432" s="9" t="s">
        <v>455</v>
      </c>
      <c r="B432">
        <v>24.600000381469727</v>
      </c>
    </row>
    <row r="433" spans="1:2" x14ac:dyDescent="0.25">
      <c r="A433" s="9" t="s">
        <v>456</v>
      </c>
      <c r="B433">
        <v>24.399999618530273</v>
      </c>
    </row>
    <row r="434" spans="1:2" x14ac:dyDescent="0.25">
      <c r="A434" s="9" t="s">
        <v>457</v>
      </c>
      <c r="B434">
        <v>24.799999237060547</v>
      </c>
    </row>
    <row r="435" spans="1:2" x14ac:dyDescent="0.25">
      <c r="A435" s="9" t="s">
        <v>458</v>
      </c>
      <c r="B435">
        <v>25</v>
      </c>
    </row>
    <row r="436" spans="1:2" x14ac:dyDescent="0.25">
      <c r="A436" s="9" t="s">
        <v>459</v>
      </c>
      <c r="B436">
        <v>25</v>
      </c>
    </row>
    <row r="437" spans="1:2" x14ac:dyDescent="0.25">
      <c r="A437" s="9" t="s">
        <v>460</v>
      </c>
      <c r="B437">
        <v>25</v>
      </c>
    </row>
    <row r="438" spans="1:2" x14ac:dyDescent="0.25">
      <c r="A438" s="9" t="s">
        <v>461</v>
      </c>
      <c r="B438">
        <v>25</v>
      </c>
    </row>
    <row r="439" spans="1:2" x14ac:dyDescent="0.25">
      <c r="A439" s="9" t="s">
        <v>462</v>
      </c>
      <c r="B439">
        <v>24.799999237060547</v>
      </c>
    </row>
    <row r="440" spans="1:2" x14ac:dyDescent="0.25">
      <c r="A440" s="9" t="s">
        <v>463</v>
      </c>
      <c r="B440">
        <v>24.600000381469727</v>
      </c>
    </row>
    <row r="441" spans="1:2" x14ac:dyDescent="0.25">
      <c r="A441" s="9" t="s">
        <v>464</v>
      </c>
      <c r="B441">
        <v>24.399999618530273</v>
      </c>
    </row>
    <row r="442" spans="1:2" x14ac:dyDescent="0.25">
      <c r="A442" s="9" t="s">
        <v>465</v>
      </c>
      <c r="B442">
        <v>24.799999237060547</v>
      </c>
    </row>
    <row r="443" spans="1:2" x14ac:dyDescent="0.25">
      <c r="A443" s="9" t="s">
        <v>466</v>
      </c>
      <c r="B443">
        <v>24.799999237060547</v>
      </c>
    </row>
    <row r="444" spans="1:2" x14ac:dyDescent="0.25">
      <c r="A444" s="9" t="s">
        <v>467</v>
      </c>
      <c r="B444">
        <v>24.799999237060547</v>
      </c>
    </row>
    <row r="445" spans="1:2" x14ac:dyDescent="0.25">
      <c r="A445" s="9" t="s">
        <v>468</v>
      </c>
      <c r="B445">
        <v>24.399999618530273</v>
      </c>
    </row>
    <row r="446" spans="1:2" x14ac:dyDescent="0.25">
      <c r="A446" s="9" t="s">
        <v>469</v>
      </c>
      <c r="B446">
        <v>24.799999237060547</v>
      </c>
    </row>
    <row r="447" spans="1:2" x14ac:dyDescent="0.25">
      <c r="A447" s="9" t="s">
        <v>470</v>
      </c>
      <c r="B447">
        <v>25.200000762939453</v>
      </c>
    </row>
    <row r="448" spans="1:2" x14ac:dyDescent="0.25">
      <c r="A448" s="9" t="s">
        <v>471</v>
      </c>
      <c r="B448">
        <v>25.200000762939453</v>
      </c>
    </row>
    <row r="449" spans="1:2" x14ac:dyDescent="0.25">
      <c r="A449" s="9" t="s">
        <v>472</v>
      </c>
      <c r="B449">
        <v>25.200000762939453</v>
      </c>
    </row>
    <row r="450" spans="1:2" x14ac:dyDescent="0.25">
      <c r="A450" s="9" t="s">
        <v>473</v>
      </c>
      <c r="B450">
        <v>25</v>
      </c>
    </row>
    <row r="451" spans="1:2" x14ac:dyDescent="0.25">
      <c r="A451" s="9" t="s">
        <v>474</v>
      </c>
      <c r="B451">
        <v>24.799999237060547</v>
      </c>
    </row>
    <row r="452" spans="1:2" x14ac:dyDescent="0.25">
      <c r="A452" s="9" t="s">
        <v>475</v>
      </c>
      <c r="B452">
        <v>24.600000381469727</v>
      </c>
    </row>
    <row r="453" spans="1:2" x14ac:dyDescent="0.25">
      <c r="A453" s="9" t="s">
        <v>476</v>
      </c>
      <c r="B453">
        <v>24.600000381469727</v>
      </c>
    </row>
    <row r="454" spans="1:2" x14ac:dyDescent="0.25">
      <c r="A454" s="9" t="s">
        <v>477</v>
      </c>
      <c r="B454">
        <v>25</v>
      </c>
    </row>
    <row r="455" spans="1:2" x14ac:dyDescent="0.25">
      <c r="A455" s="9" t="s">
        <v>478</v>
      </c>
      <c r="B455">
        <v>25</v>
      </c>
    </row>
    <row r="456" spans="1:2" x14ac:dyDescent="0.25">
      <c r="A456" s="9" t="s">
        <v>479</v>
      </c>
      <c r="B456">
        <v>25</v>
      </c>
    </row>
    <row r="457" spans="1:2" x14ac:dyDescent="0.25">
      <c r="A457" s="9" t="s">
        <v>480</v>
      </c>
      <c r="B457">
        <v>24.799999237060547</v>
      </c>
    </row>
    <row r="458" spans="1:2" x14ac:dyDescent="0.25">
      <c r="A458" s="9" t="s">
        <v>481</v>
      </c>
      <c r="B458">
        <v>24.600000381469727</v>
      </c>
    </row>
    <row r="459" spans="1:2" x14ac:dyDescent="0.25">
      <c r="A459" s="9" t="s">
        <v>482</v>
      </c>
      <c r="B459">
        <v>24.399999618530273</v>
      </c>
    </row>
    <row r="460" spans="1:2" x14ac:dyDescent="0.25">
      <c r="A460" s="9" t="s">
        <v>483</v>
      </c>
      <c r="B460">
        <v>25</v>
      </c>
    </row>
    <row r="461" spans="1:2" x14ac:dyDescent="0.25">
      <c r="A461" s="9" t="s">
        <v>484</v>
      </c>
      <c r="B461">
        <v>25.200000762939453</v>
      </c>
    </row>
    <row r="462" spans="1:2" x14ac:dyDescent="0.25">
      <c r="A462" s="9" t="s">
        <v>485</v>
      </c>
      <c r="B462">
        <v>25.200000762939453</v>
      </c>
    </row>
    <row r="463" spans="1:2" x14ac:dyDescent="0.25">
      <c r="A463" s="9" t="s">
        <v>486</v>
      </c>
      <c r="B463">
        <v>25</v>
      </c>
    </row>
    <row r="464" spans="1:2" x14ac:dyDescent="0.25">
      <c r="A464" s="9" t="s">
        <v>487</v>
      </c>
      <c r="B464">
        <v>24.799999237060547</v>
      </c>
    </row>
    <row r="465" spans="1:2" x14ac:dyDescent="0.25">
      <c r="A465" s="9" t="s">
        <v>488</v>
      </c>
      <c r="B465">
        <v>24.600000381469727</v>
      </c>
    </row>
    <row r="466" spans="1:2" x14ac:dyDescent="0.25">
      <c r="A466" s="9" t="s">
        <v>489</v>
      </c>
      <c r="B466">
        <v>24.799999237060547</v>
      </c>
    </row>
    <row r="467" spans="1:2" x14ac:dyDescent="0.25">
      <c r="A467" s="9" t="s">
        <v>490</v>
      </c>
      <c r="B467">
        <v>25</v>
      </c>
    </row>
    <row r="468" spans="1:2" x14ac:dyDescent="0.25">
      <c r="A468" s="9" t="s">
        <v>491</v>
      </c>
      <c r="B468">
        <v>25.200000762939453</v>
      </c>
    </row>
    <row r="469" spans="1:2" x14ac:dyDescent="0.25">
      <c r="A469" s="9" t="s">
        <v>492</v>
      </c>
      <c r="B469">
        <v>25</v>
      </c>
    </row>
    <row r="470" spans="1:2" x14ac:dyDescent="0.25">
      <c r="A470" s="9" t="s">
        <v>493</v>
      </c>
      <c r="B470">
        <v>24.799999237060547</v>
      </c>
    </row>
    <row r="471" spans="1:2" x14ac:dyDescent="0.25">
      <c r="A471" s="9" t="s">
        <v>494</v>
      </c>
      <c r="B471">
        <v>24.600000381469727</v>
      </c>
    </row>
    <row r="472" spans="1:2" x14ac:dyDescent="0.25">
      <c r="A472" s="9" t="s">
        <v>495</v>
      </c>
      <c r="B472">
        <v>24.399999618530273</v>
      </c>
    </row>
    <row r="473" spans="1:2" x14ac:dyDescent="0.25">
      <c r="A473" s="9" t="s">
        <v>496</v>
      </c>
      <c r="B473">
        <v>25</v>
      </c>
    </row>
    <row r="474" spans="1:2" x14ac:dyDescent="0.25">
      <c r="A474" s="9" t="s">
        <v>497</v>
      </c>
      <c r="B474">
        <v>25.200000762939453</v>
      </c>
    </row>
    <row r="475" spans="1:2" x14ac:dyDescent="0.25">
      <c r="A475" s="9" t="s">
        <v>498</v>
      </c>
      <c r="B475">
        <v>25.200000762939453</v>
      </c>
    </row>
    <row r="476" spans="1:2" x14ac:dyDescent="0.25">
      <c r="A476" s="9" t="s">
        <v>499</v>
      </c>
      <c r="B476">
        <v>25</v>
      </c>
    </row>
    <row r="477" spans="1:2" x14ac:dyDescent="0.25">
      <c r="A477" s="9" t="s">
        <v>500</v>
      </c>
      <c r="B477">
        <v>24.799999237060547</v>
      </c>
    </row>
    <row r="478" spans="1:2" x14ac:dyDescent="0.25">
      <c r="A478" s="9" t="s">
        <v>501</v>
      </c>
      <c r="B478">
        <v>24.600000381469727</v>
      </c>
    </row>
    <row r="479" spans="1:2" x14ac:dyDescent="0.25">
      <c r="A479" s="9" t="s">
        <v>502</v>
      </c>
      <c r="B479">
        <v>24.399999618530273</v>
      </c>
    </row>
    <row r="480" spans="1:2" x14ac:dyDescent="0.25">
      <c r="A480" s="9" t="s">
        <v>503</v>
      </c>
      <c r="B480">
        <v>25</v>
      </c>
    </row>
    <row r="481" spans="1:2" x14ac:dyDescent="0.25">
      <c r="A481" s="9" t="s">
        <v>504</v>
      </c>
      <c r="B481">
        <v>25.200000762939453</v>
      </c>
    </row>
    <row r="482" spans="1:2" x14ac:dyDescent="0.25">
      <c r="A482" s="9" t="s">
        <v>505</v>
      </c>
      <c r="B482">
        <v>25</v>
      </c>
    </row>
    <row r="483" spans="1:2" x14ac:dyDescent="0.25">
      <c r="A483" s="9" t="s">
        <v>506</v>
      </c>
      <c r="B483">
        <v>25</v>
      </c>
    </row>
    <row r="484" spans="1:2" x14ac:dyDescent="0.25">
      <c r="A484" s="9" t="s">
        <v>507</v>
      </c>
      <c r="B484">
        <v>24.799999237060547</v>
      </c>
    </row>
    <row r="485" spans="1:2" x14ac:dyDescent="0.25">
      <c r="A485" s="9" t="s">
        <v>508</v>
      </c>
      <c r="B485">
        <v>24.399999618530273</v>
      </c>
    </row>
    <row r="486" spans="1:2" x14ac:dyDescent="0.25">
      <c r="A486" s="9" t="s">
        <v>509</v>
      </c>
      <c r="B486">
        <v>24.799999237060547</v>
      </c>
    </row>
    <row r="487" spans="1:2" x14ac:dyDescent="0.25">
      <c r="A487" s="9" t="s">
        <v>510</v>
      </c>
      <c r="B487">
        <v>37.099998474121094</v>
      </c>
    </row>
    <row r="488" spans="1:2" x14ac:dyDescent="0.25">
      <c r="A488" s="9" t="s">
        <v>511</v>
      </c>
      <c r="B488">
        <v>36.900001525878906</v>
      </c>
    </row>
    <row r="489" spans="1:2" x14ac:dyDescent="0.25">
      <c r="A489" s="9" t="s">
        <v>512</v>
      </c>
      <c r="B489">
        <v>36.900001525878906</v>
      </c>
    </row>
    <row r="490" spans="1:2" x14ac:dyDescent="0.25">
      <c r="A490" s="9" t="s">
        <v>513</v>
      </c>
      <c r="B490">
        <v>36.900001525878906</v>
      </c>
    </row>
    <row r="491" spans="1:2" x14ac:dyDescent="0.25">
      <c r="A491" s="9" t="s">
        <v>514</v>
      </c>
      <c r="B491">
        <v>36.900001525878906</v>
      </c>
    </row>
    <row r="492" spans="1:2" x14ac:dyDescent="0.25">
      <c r="A492" s="9" t="s">
        <v>515</v>
      </c>
      <c r="B492">
        <v>36.700000762939453</v>
      </c>
    </row>
    <row r="493" spans="1:2" x14ac:dyDescent="0.25">
      <c r="A493" s="9" t="s">
        <v>516</v>
      </c>
      <c r="B493">
        <v>36.900001525878906</v>
      </c>
    </row>
    <row r="494" spans="1:2" x14ac:dyDescent="0.25">
      <c r="A494" s="9" t="s">
        <v>517</v>
      </c>
      <c r="B494">
        <v>36.900001525878906</v>
      </c>
    </row>
    <row r="495" spans="1:2" x14ac:dyDescent="0.25">
      <c r="A495" s="9" t="s">
        <v>518</v>
      </c>
      <c r="B495">
        <v>36.700000762939453</v>
      </c>
    </row>
    <row r="496" spans="1:2" x14ac:dyDescent="0.25">
      <c r="A496" s="9" t="s">
        <v>519</v>
      </c>
      <c r="B496">
        <v>36.900001525878906</v>
      </c>
    </row>
    <row r="497" spans="1:2" x14ac:dyDescent="0.25">
      <c r="A497" s="9" t="s">
        <v>520</v>
      </c>
      <c r="B497">
        <v>36.900001525878906</v>
      </c>
    </row>
    <row r="498" spans="1:2" x14ac:dyDescent="0.25">
      <c r="A498" s="9" t="s">
        <v>521</v>
      </c>
      <c r="B498">
        <v>36.700000762939453</v>
      </c>
    </row>
    <row r="499" spans="1:2" x14ac:dyDescent="0.25">
      <c r="A499" s="9" t="s">
        <v>522</v>
      </c>
      <c r="B499">
        <v>36.900001525878906</v>
      </c>
    </row>
    <row r="500" spans="1:2" x14ac:dyDescent="0.25">
      <c r="A500" s="9" t="s">
        <v>523</v>
      </c>
      <c r="B500">
        <v>36.900001525878906</v>
      </c>
    </row>
    <row r="501" spans="1:2" x14ac:dyDescent="0.25">
      <c r="A501" s="9" t="s">
        <v>524</v>
      </c>
      <c r="B501">
        <v>36.700000762939453</v>
      </c>
    </row>
    <row r="502" spans="1:2" x14ac:dyDescent="0.25">
      <c r="A502" s="9" t="s">
        <v>525</v>
      </c>
      <c r="B502">
        <v>37.099998474121094</v>
      </c>
    </row>
    <row r="503" spans="1:2" x14ac:dyDescent="0.25">
      <c r="A503" s="9" t="s">
        <v>526</v>
      </c>
      <c r="B503">
        <v>37.099998474121094</v>
      </c>
    </row>
    <row r="504" spans="1:2" x14ac:dyDescent="0.25">
      <c r="A504" s="9" t="s">
        <v>527</v>
      </c>
      <c r="B504">
        <v>36.900001525878906</v>
      </c>
    </row>
    <row r="505" spans="1:2" x14ac:dyDescent="0.25">
      <c r="A505" s="9" t="s">
        <v>528</v>
      </c>
      <c r="B505">
        <v>36.900001525878906</v>
      </c>
    </row>
    <row r="506" spans="1:2" x14ac:dyDescent="0.25">
      <c r="A506" s="9" t="s">
        <v>529</v>
      </c>
      <c r="B506">
        <v>36.700000762939453</v>
      </c>
    </row>
    <row r="507" spans="1:2" x14ac:dyDescent="0.25">
      <c r="A507" s="9" t="s">
        <v>530</v>
      </c>
      <c r="B507">
        <v>36.700000762939453</v>
      </c>
    </row>
    <row r="508" spans="1:2" x14ac:dyDescent="0.25">
      <c r="A508" s="9" t="s">
        <v>531</v>
      </c>
      <c r="B508">
        <v>36.900001525878906</v>
      </c>
    </row>
    <row r="509" spans="1:2" x14ac:dyDescent="0.25">
      <c r="A509" s="9" t="s">
        <v>532</v>
      </c>
      <c r="B509">
        <v>37.099998474121094</v>
      </c>
    </row>
    <row r="510" spans="1:2" x14ac:dyDescent="0.25">
      <c r="A510" s="9" t="s">
        <v>533</v>
      </c>
      <c r="B510">
        <v>36.700000762939453</v>
      </c>
    </row>
    <row r="511" spans="1:2" x14ac:dyDescent="0.25">
      <c r="A511" s="9" t="s">
        <v>534</v>
      </c>
      <c r="B511">
        <v>37.099998474121094</v>
      </c>
    </row>
    <row r="512" spans="1:2" x14ac:dyDescent="0.25">
      <c r="A512" s="9" t="s">
        <v>535</v>
      </c>
      <c r="B512">
        <v>36.700000762939453</v>
      </c>
    </row>
    <row r="513" spans="1:2" x14ac:dyDescent="0.25">
      <c r="A513" s="9" t="s">
        <v>536</v>
      </c>
      <c r="B513">
        <v>36.900001525878906</v>
      </c>
    </row>
    <row r="514" spans="1:2" x14ac:dyDescent="0.25">
      <c r="A514" s="9" t="s">
        <v>537</v>
      </c>
      <c r="B514">
        <v>36.900001525878906</v>
      </c>
    </row>
    <row r="515" spans="1:2" x14ac:dyDescent="0.25">
      <c r="A515" s="9" t="s">
        <v>538</v>
      </c>
      <c r="B515">
        <v>36.700000762939453</v>
      </c>
    </row>
    <row r="516" spans="1:2" x14ac:dyDescent="0.25">
      <c r="A516" s="9" t="s">
        <v>539</v>
      </c>
      <c r="B516">
        <v>37.099998474121094</v>
      </c>
    </row>
    <row r="517" spans="1:2" x14ac:dyDescent="0.25">
      <c r="A517" s="9" t="s">
        <v>540</v>
      </c>
      <c r="B517">
        <v>37.099998474121094</v>
      </c>
    </row>
    <row r="518" spans="1:2" x14ac:dyDescent="0.25">
      <c r="A518" s="9" t="s">
        <v>541</v>
      </c>
      <c r="B518">
        <v>37.099998474121094</v>
      </c>
    </row>
    <row r="519" spans="1:2" x14ac:dyDescent="0.25">
      <c r="A519" s="9" t="s">
        <v>542</v>
      </c>
      <c r="B519">
        <v>36.900001525878906</v>
      </c>
    </row>
    <row r="520" spans="1:2" x14ac:dyDescent="0.25">
      <c r="A520" s="9" t="s">
        <v>543</v>
      </c>
      <c r="B520">
        <v>36.700000762939453</v>
      </c>
    </row>
    <row r="521" spans="1:2" x14ac:dyDescent="0.25">
      <c r="A521" s="9" t="s">
        <v>544</v>
      </c>
      <c r="B521">
        <v>36.700000762939453</v>
      </c>
    </row>
    <row r="522" spans="1:2" x14ac:dyDescent="0.25">
      <c r="A522" s="9" t="s">
        <v>545</v>
      </c>
      <c r="B522">
        <v>37.099998474121094</v>
      </c>
    </row>
    <row r="523" spans="1:2" x14ac:dyDescent="0.25">
      <c r="A523" s="9" t="s">
        <v>546</v>
      </c>
      <c r="B523">
        <v>37.099998474121094</v>
      </c>
    </row>
    <row r="524" spans="1:2" x14ac:dyDescent="0.25">
      <c r="A524" s="9" t="s">
        <v>547</v>
      </c>
      <c r="B524">
        <v>37.099998474121094</v>
      </c>
    </row>
    <row r="525" spans="1:2" x14ac:dyDescent="0.25">
      <c r="A525" s="9" t="s">
        <v>548</v>
      </c>
      <c r="B525">
        <v>36.900001525878906</v>
      </c>
    </row>
    <row r="526" spans="1:2" x14ac:dyDescent="0.25">
      <c r="A526" s="9" t="s">
        <v>549</v>
      </c>
      <c r="B526">
        <v>37.099998474121094</v>
      </c>
    </row>
    <row r="527" spans="1:2" x14ac:dyDescent="0.25">
      <c r="A527" s="9" t="s">
        <v>550</v>
      </c>
      <c r="B527">
        <v>36.900001525878906</v>
      </c>
    </row>
    <row r="528" spans="1:2" x14ac:dyDescent="0.25">
      <c r="A528" s="9" t="s">
        <v>551</v>
      </c>
      <c r="B528">
        <v>36.700000762939453</v>
      </c>
    </row>
    <row r="529" spans="1:2" x14ac:dyDescent="0.25">
      <c r="A529" s="9" t="s">
        <v>552</v>
      </c>
      <c r="B529">
        <v>36.700000762939453</v>
      </c>
    </row>
    <row r="530" spans="1:2" x14ac:dyDescent="0.25">
      <c r="A530" s="9" t="s">
        <v>553</v>
      </c>
      <c r="B530">
        <v>37.099998474121094</v>
      </c>
    </row>
    <row r="531" spans="1:2" x14ac:dyDescent="0.25">
      <c r="A531" s="9" t="s">
        <v>554</v>
      </c>
      <c r="B531">
        <v>37.099998474121094</v>
      </c>
    </row>
    <row r="532" spans="1:2" x14ac:dyDescent="0.25">
      <c r="A532" s="9" t="s">
        <v>555</v>
      </c>
      <c r="B532">
        <v>36.900001525878906</v>
      </c>
    </row>
    <row r="533" spans="1:2" x14ac:dyDescent="0.25">
      <c r="A533" s="9" t="s">
        <v>556</v>
      </c>
      <c r="B533">
        <v>36.900001525878906</v>
      </c>
    </row>
    <row r="534" spans="1:2" x14ac:dyDescent="0.25">
      <c r="A534" s="9" t="s">
        <v>557</v>
      </c>
      <c r="B534">
        <v>36.900001525878906</v>
      </c>
    </row>
    <row r="535" spans="1:2" x14ac:dyDescent="0.25">
      <c r="A535" s="9" t="s">
        <v>558</v>
      </c>
      <c r="B535">
        <v>36.900001525878906</v>
      </c>
    </row>
    <row r="536" spans="1:2" x14ac:dyDescent="0.25">
      <c r="A536" s="9" t="s">
        <v>559</v>
      </c>
      <c r="B536">
        <v>37.099998474121094</v>
      </c>
    </row>
    <row r="537" spans="1:2" x14ac:dyDescent="0.25">
      <c r="A537" s="9" t="s">
        <v>560</v>
      </c>
      <c r="B537">
        <v>36.900001525878906</v>
      </c>
    </row>
    <row r="538" spans="1:2" x14ac:dyDescent="0.25">
      <c r="A538" s="9" t="s">
        <v>561</v>
      </c>
      <c r="B538">
        <v>36.900001525878906</v>
      </c>
    </row>
    <row r="539" spans="1:2" x14ac:dyDescent="0.25">
      <c r="A539" s="9" t="s">
        <v>562</v>
      </c>
      <c r="B539">
        <v>37.099998474121094</v>
      </c>
    </row>
    <row r="540" spans="1:2" x14ac:dyDescent="0.25">
      <c r="A540" s="9" t="s">
        <v>563</v>
      </c>
      <c r="B540">
        <v>36.700000762939453</v>
      </c>
    </row>
    <row r="541" spans="1:2" x14ac:dyDescent="0.25">
      <c r="A541" s="9" t="s">
        <v>564</v>
      </c>
      <c r="B541">
        <v>36.900001525878906</v>
      </c>
    </row>
    <row r="542" spans="1:2" x14ac:dyDescent="0.25">
      <c r="A542" s="9" t="s">
        <v>565</v>
      </c>
      <c r="B542">
        <v>36.900001525878906</v>
      </c>
    </row>
    <row r="543" spans="1:2" x14ac:dyDescent="0.25">
      <c r="A543" s="9" t="s">
        <v>566</v>
      </c>
      <c r="B543">
        <v>36.900001525878906</v>
      </c>
    </row>
    <row r="544" spans="1:2" x14ac:dyDescent="0.25">
      <c r="A544" s="9" t="s">
        <v>567</v>
      </c>
      <c r="B544">
        <v>36.700000762939453</v>
      </c>
    </row>
    <row r="545" spans="1:2" x14ac:dyDescent="0.25">
      <c r="A545" s="9" t="s">
        <v>568</v>
      </c>
      <c r="B545">
        <v>36.900001525878906</v>
      </c>
    </row>
    <row r="546" spans="1:2" x14ac:dyDescent="0.25">
      <c r="A546" s="9" t="s">
        <v>569</v>
      </c>
      <c r="B546">
        <v>37.099998474121094</v>
      </c>
    </row>
    <row r="547" spans="1:2" x14ac:dyDescent="0.25">
      <c r="A547" s="9" t="s">
        <v>570</v>
      </c>
      <c r="B547">
        <v>37.099998474121094</v>
      </c>
    </row>
    <row r="548" spans="1:2" x14ac:dyDescent="0.25">
      <c r="A548" s="9" t="s">
        <v>571</v>
      </c>
      <c r="B548">
        <v>37.099998474121094</v>
      </c>
    </row>
    <row r="549" spans="1:2" x14ac:dyDescent="0.25">
      <c r="A549" s="9" t="s">
        <v>572</v>
      </c>
      <c r="B549">
        <v>37.099998474121094</v>
      </c>
    </row>
    <row r="550" spans="1:2" x14ac:dyDescent="0.25">
      <c r="A550" s="9" t="s">
        <v>573</v>
      </c>
      <c r="B550">
        <v>37.099998474121094</v>
      </c>
    </row>
    <row r="551" spans="1:2" x14ac:dyDescent="0.25">
      <c r="A551" s="9" t="s">
        <v>574</v>
      </c>
      <c r="B551">
        <v>36.900001525878906</v>
      </c>
    </row>
    <row r="552" spans="1:2" x14ac:dyDescent="0.25">
      <c r="A552" s="9" t="s">
        <v>575</v>
      </c>
      <c r="B552">
        <v>36.900001525878906</v>
      </c>
    </row>
    <row r="553" spans="1:2" x14ac:dyDescent="0.25">
      <c r="A553" s="9" t="s">
        <v>576</v>
      </c>
      <c r="B553">
        <v>36.900001525878906</v>
      </c>
    </row>
    <row r="554" spans="1:2" x14ac:dyDescent="0.25">
      <c r="A554" s="9" t="s">
        <v>577</v>
      </c>
      <c r="B554">
        <v>36.900001525878906</v>
      </c>
    </row>
    <row r="555" spans="1:2" x14ac:dyDescent="0.25">
      <c r="A555" s="9" t="s">
        <v>578</v>
      </c>
      <c r="B555">
        <v>36.900001525878906</v>
      </c>
    </row>
    <row r="556" spans="1:2" x14ac:dyDescent="0.25">
      <c r="A556" s="9" t="s">
        <v>579</v>
      </c>
      <c r="B556">
        <v>36.700000762939453</v>
      </c>
    </row>
    <row r="557" spans="1:2" x14ac:dyDescent="0.25">
      <c r="A557" s="9" t="s">
        <v>580</v>
      </c>
      <c r="B557">
        <v>36.700000762939453</v>
      </c>
    </row>
    <row r="558" spans="1:2" x14ac:dyDescent="0.25">
      <c r="A558" s="9" t="s">
        <v>581</v>
      </c>
      <c r="B558">
        <v>36.700000762939453</v>
      </c>
    </row>
    <row r="559" spans="1:2" x14ac:dyDescent="0.25">
      <c r="A559" s="9" t="s">
        <v>582</v>
      </c>
      <c r="B559">
        <v>36.900001525878906</v>
      </c>
    </row>
    <row r="560" spans="1:2" x14ac:dyDescent="0.25">
      <c r="A560" s="9" t="s">
        <v>583</v>
      </c>
      <c r="B560">
        <v>37.099998474121094</v>
      </c>
    </row>
    <row r="561" spans="1:2" x14ac:dyDescent="0.25">
      <c r="A561" s="9" t="s">
        <v>584</v>
      </c>
      <c r="B561">
        <v>36.900001525878906</v>
      </c>
    </row>
    <row r="562" spans="1:2" x14ac:dyDescent="0.25">
      <c r="A562" s="9" t="s">
        <v>585</v>
      </c>
      <c r="B562">
        <v>37.099998474121094</v>
      </c>
    </row>
    <row r="563" spans="1:2" x14ac:dyDescent="0.25">
      <c r="A563" s="9" t="s">
        <v>586</v>
      </c>
      <c r="B563">
        <v>37.099998474121094</v>
      </c>
    </row>
    <row r="564" spans="1:2" x14ac:dyDescent="0.25">
      <c r="A564" s="9" t="s">
        <v>587</v>
      </c>
      <c r="B564">
        <v>37.099998474121094</v>
      </c>
    </row>
    <row r="565" spans="1:2" x14ac:dyDescent="0.25">
      <c r="A565" s="9" t="s">
        <v>588</v>
      </c>
      <c r="B565">
        <v>36.900001525878906</v>
      </c>
    </row>
    <row r="566" spans="1:2" x14ac:dyDescent="0.25">
      <c r="A566" s="9" t="s">
        <v>589</v>
      </c>
      <c r="B566">
        <v>37.099998474121094</v>
      </c>
    </row>
    <row r="567" spans="1:2" x14ac:dyDescent="0.25">
      <c r="A567" s="9" t="s">
        <v>590</v>
      </c>
      <c r="B567">
        <v>36.900001525878906</v>
      </c>
    </row>
    <row r="568" spans="1:2" x14ac:dyDescent="0.25">
      <c r="A568" s="9" t="s">
        <v>591</v>
      </c>
      <c r="B568">
        <v>36.900001525878906</v>
      </c>
    </row>
    <row r="569" spans="1:2" x14ac:dyDescent="0.25">
      <c r="A569" s="9" t="s">
        <v>592</v>
      </c>
      <c r="B569">
        <v>36.900001525878906</v>
      </c>
    </row>
    <row r="570" spans="1:2" x14ac:dyDescent="0.25">
      <c r="A570" s="9" t="s">
        <v>593</v>
      </c>
      <c r="B570">
        <v>36.900001525878906</v>
      </c>
    </row>
    <row r="571" spans="1:2" x14ac:dyDescent="0.25">
      <c r="A571" s="9" t="s">
        <v>594</v>
      </c>
      <c r="B571">
        <v>36.900001525878906</v>
      </c>
    </row>
    <row r="572" spans="1:2" x14ac:dyDescent="0.25">
      <c r="A572" s="9" t="s">
        <v>595</v>
      </c>
      <c r="B572">
        <v>36.900001525878906</v>
      </c>
    </row>
    <row r="573" spans="1:2" x14ac:dyDescent="0.25">
      <c r="A573" s="9" t="s">
        <v>596</v>
      </c>
      <c r="B573">
        <v>36.900001525878906</v>
      </c>
    </row>
    <row r="574" spans="1:2" x14ac:dyDescent="0.25">
      <c r="A574" s="9" t="s">
        <v>597</v>
      </c>
      <c r="B574">
        <v>36.900001525878906</v>
      </c>
    </row>
    <row r="575" spans="1:2" x14ac:dyDescent="0.25">
      <c r="A575" s="9" t="s">
        <v>598</v>
      </c>
      <c r="B575">
        <v>36.900001525878906</v>
      </c>
    </row>
    <row r="576" spans="1:2" x14ac:dyDescent="0.25">
      <c r="A576" s="9" t="s">
        <v>599</v>
      </c>
      <c r="B576">
        <v>36.700000762939453</v>
      </c>
    </row>
    <row r="577" spans="1:2" x14ac:dyDescent="0.25">
      <c r="A577" s="9" t="s">
        <v>600</v>
      </c>
      <c r="B577">
        <v>36.700000762939453</v>
      </c>
    </row>
    <row r="578" spans="1:2" x14ac:dyDescent="0.25">
      <c r="A578" s="9" t="s">
        <v>601</v>
      </c>
      <c r="B578">
        <v>36.900001525878906</v>
      </c>
    </row>
    <row r="579" spans="1:2" x14ac:dyDescent="0.25">
      <c r="A579" s="9" t="s">
        <v>602</v>
      </c>
      <c r="B579">
        <v>36.900001525878906</v>
      </c>
    </row>
    <row r="580" spans="1:2" x14ac:dyDescent="0.25">
      <c r="A580" s="9" t="s">
        <v>603</v>
      </c>
      <c r="B580">
        <v>37.099998474121094</v>
      </c>
    </row>
    <row r="581" spans="1:2" x14ac:dyDescent="0.25">
      <c r="A581" s="9" t="s">
        <v>604</v>
      </c>
      <c r="B581">
        <v>36.900001525878906</v>
      </c>
    </row>
    <row r="582" spans="1:2" x14ac:dyDescent="0.25">
      <c r="A582" s="9" t="s">
        <v>605</v>
      </c>
      <c r="B582">
        <v>36.900001525878906</v>
      </c>
    </row>
    <row r="583" spans="1:2" x14ac:dyDescent="0.25">
      <c r="A583" s="9" t="s">
        <v>606</v>
      </c>
      <c r="B583">
        <v>37.099998474121094</v>
      </c>
    </row>
    <row r="584" spans="1:2" x14ac:dyDescent="0.25">
      <c r="A584" s="9" t="s">
        <v>607</v>
      </c>
      <c r="B584">
        <v>29.799999237060547</v>
      </c>
    </row>
    <row r="585" spans="1:2" x14ac:dyDescent="0.25">
      <c r="A585" s="9" t="s">
        <v>608</v>
      </c>
      <c r="B585">
        <v>30</v>
      </c>
    </row>
    <row r="586" spans="1:2" x14ac:dyDescent="0.25">
      <c r="A586" s="9" t="s">
        <v>609</v>
      </c>
      <c r="B586">
        <v>30.200000762939453</v>
      </c>
    </row>
    <row r="587" spans="1:2" x14ac:dyDescent="0.25">
      <c r="A587" s="9" t="s">
        <v>610</v>
      </c>
      <c r="B587">
        <v>30.200000762939453</v>
      </c>
    </row>
    <row r="588" spans="1:2" x14ac:dyDescent="0.25">
      <c r="A588" s="9" t="s">
        <v>611</v>
      </c>
      <c r="B588">
        <v>30</v>
      </c>
    </row>
    <row r="589" spans="1:2" x14ac:dyDescent="0.25">
      <c r="A589" s="9" t="s">
        <v>612</v>
      </c>
      <c r="B589">
        <v>29.799999237060547</v>
      </c>
    </row>
    <row r="590" spans="1:2" x14ac:dyDescent="0.25">
      <c r="A590" s="9" t="s">
        <v>613</v>
      </c>
      <c r="B590">
        <v>29.799999237060547</v>
      </c>
    </row>
    <row r="591" spans="1:2" x14ac:dyDescent="0.25">
      <c r="A591" s="9" t="s">
        <v>614</v>
      </c>
      <c r="B591">
        <v>30.200000762939453</v>
      </c>
    </row>
    <row r="592" spans="1:2" x14ac:dyDescent="0.25">
      <c r="A592" s="9" t="s">
        <v>615</v>
      </c>
      <c r="B592">
        <v>30.399999618530273</v>
      </c>
    </row>
    <row r="593" spans="1:2" x14ac:dyDescent="0.25">
      <c r="A593" s="9" t="s">
        <v>616</v>
      </c>
      <c r="B593">
        <v>30.399999618530273</v>
      </c>
    </row>
    <row r="594" spans="1:2" x14ac:dyDescent="0.25">
      <c r="A594" s="9" t="s">
        <v>617</v>
      </c>
      <c r="B594">
        <v>30.200000762939453</v>
      </c>
    </row>
    <row r="595" spans="1:2" x14ac:dyDescent="0.25">
      <c r="A595" s="9" t="s">
        <v>618</v>
      </c>
      <c r="B595">
        <v>30</v>
      </c>
    </row>
    <row r="596" spans="1:2" x14ac:dyDescent="0.25">
      <c r="A596" s="9" t="s">
        <v>619</v>
      </c>
      <c r="B596">
        <v>29.799999237060547</v>
      </c>
    </row>
    <row r="597" spans="1:2" x14ac:dyDescent="0.25">
      <c r="A597" s="9" t="s">
        <v>620</v>
      </c>
      <c r="B597">
        <v>30</v>
      </c>
    </row>
    <row r="598" spans="1:2" x14ac:dyDescent="0.25">
      <c r="A598" s="9" t="s">
        <v>621</v>
      </c>
      <c r="B598">
        <v>30.200000762939453</v>
      </c>
    </row>
    <row r="599" spans="1:2" x14ac:dyDescent="0.25">
      <c r="A599" s="9" t="s">
        <v>622</v>
      </c>
      <c r="B599">
        <v>30.200000762939453</v>
      </c>
    </row>
    <row r="600" spans="1:2" x14ac:dyDescent="0.25">
      <c r="A600" s="9" t="s">
        <v>623</v>
      </c>
      <c r="B600">
        <v>30</v>
      </c>
    </row>
    <row r="601" spans="1:2" x14ac:dyDescent="0.25">
      <c r="A601" s="9" t="s">
        <v>624</v>
      </c>
      <c r="B601">
        <v>29.799999237060547</v>
      </c>
    </row>
    <row r="602" spans="1:2" x14ac:dyDescent="0.25">
      <c r="A602" s="9" t="s">
        <v>625</v>
      </c>
      <c r="B602">
        <v>29.799999237060547</v>
      </c>
    </row>
    <row r="603" spans="1:2" x14ac:dyDescent="0.25">
      <c r="A603" s="9" t="s">
        <v>626</v>
      </c>
      <c r="B603">
        <v>30.200000762939453</v>
      </c>
    </row>
    <row r="604" spans="1:2" x14ac:dyDescent="0.25">
      <c r="A604" s="9" t="s">
        <v>627</v>
      </c>
      <c r="B604">
        <v>30.399999618530273</v>
      </c>
    </row>
    <row r="605" spans="1:2" x14ac:dyDescent="0.25">
      <c r="A605" s="9" t="s">
        <v>628</v>
      </c>
      <c r="B605">
        <v>30.399999618530273</v>
      </c>
    </row>
    <row r="606" spans="1:2" x14ac:dyDescent="0.25">
      <c r="A606" s="9" t="s">
        <v>629</v>
      </c>
      <c r="B606">
        <v>30.200000762939453</v>
      </c>
    </row>
    <row r="607" spans="1:2" x14ac:dyDescent="0.25">
      <c r="A607" s="9" t="s">
        <v>630</v>
      </c>
      <c r="B607">
        <v>30</v>
      </c>
    </row>
    <row r="608" spans="1:2" x14ac:dyDescent="0.25">
      <c r="A608" s="9" t="s">
        <v>631</v>
      </c>
      <c r="B608">
        <v>29.799999237060547</v>
      </c>
    </row>
    <row r="609" spans="1:2" x14ac:dyDescent="0.25">
      <c r="A609" s="9" t="s">
        <v>632</v>
      </c>
      <c r="B609">
        <v>29.799999237060547</v>
      </c>
    </row>
    <row r="610" spans="1:2" x14ac:dyDescent="0.25">
      <c r="A610" s="9" t="s">
        <v>633</v>
      </c>
      <c r="B610">
        <v>30.200000762939453</v>
      </c>
    </row>
    <row r="611" spans="1:2" x14ac:dyDescent="0.25">
      <c r="A611" s="9" t="s">
        <v>634</v>
      </c>
      <c r="B611">
        <v>30.200000762939453</v>
      </c>
    </row>
    <row r="612" spans="1:2" x14ac:dyDescent="0.25">
      <c r="A612" s="9" t="s">
        <v>635</v>
      </c>
      <c r="B612">
        <v>30.200000762939453</v>
      </c>
    </row>
    <row r="613" spans="1:2" x14ac:dyDescent="0.25">
      <c r="A613" s="9" t="s">
        <v>636</v>
      </c>
      <c r="B613">
        <v>30</v>
      </c>
    </row>
    <row r="614" spans="1:2" x14ac:dyDescent="0.25">
      <c r="A614" s="9" t="s">
        <v>637</v>
      </c>
      <c r="B614">
        <v>29.799999237060547</v>
      </c>
    </row>
    <row r="615" spans="1:2" x14ac:dyDescent="0.25">
      <c r="A615" s="9" t="s">
        <v>638</v>
      </c>
      <c r="B615">
        <v>30.200000762939453</v>
      </c>
    </row>
    <row r="616" spans="1:2" x14ac:dyDescent="0.25">
      <c r="A616" s="9" t="s">
        <v>639</v>
      </c>
      <c r="B616">
        <v>30.200000762939453</v>
      </c>
    </row>
    <row r="617" spans="1:2" x14ac:dyDescent="0.25">
      <c r="A617" s="9" t="s">
        <v>640</v>
      </c>
      <c r="B617">
        <v>30.200000762939453</v>
      </c>
    </row>
    <row r="618" spans="1:2" x14ac:dyDescent="0.25">
      <c r="A618" s="9" t="s">
        <v>641</v>
      </c>
      <c r="B618">
        <v>30</v>
      </c>
    </row>
    <row r="619" spans="1:2" x14ac:dyDescent="0.25">
      <c r="A619" s="9" t="s">
        <v>642</v>
      </c>
      <c r="B619">
        <v>30</v>
      </c>
    </row>
    <row r="620" spans="1:2" x14ac:dyDescent="0.25">
      <c r="A620" s="9" t="s">
        <v>643</v>
      </c>
      <c r="B620">
        <v>29.799999237060547</v>
      </c>
    </row>
    <row r="621" spans="1:2" x14ac:dyDescent="0.25">
      <c r="A621" s="9" t="s">
        <v>644</v>
      </c>
      <c r="B621">
        <v>30.200000762939453</v>
      </c>
    </row>
    <row r="622" spans="1:2" x14ac:dyDescent="0.25">
      <c r="A622" s="9" t="s">
        <v>645</v>
      </c>
      <c r="B622">
        <v>30.399999618530273</v>
      </c>
    </row>
    <row r="623" spans="1:2" x14ac:dyDescent="0.25">
      <c r="A623" s="9" t="s">
        <v>646</v>
      </c>
      <c r="B623">
        <v>30.399999618530273</v>
      </c>
    </row>
    <row r="624" spans="1:2" x14ac:dyDescent="0.25">
      <c r="A624" s="9" t="s">
        <v>647</v>
      </c>
      <c r="B624">
        <v>30.200000762939453</v>
      </c>
    </row>
    <row r="625" spans="1:2" x14ac:dyDescent="0.25">
      <c r="A625" s="9" t="s">
        <v>648</v>
      </c>
      <c r="B625">
        <v>30</v>
      </c>
    </row>
    <row r="626" spans="1:2" x14ac:dyDescent="0.25">
      <c r="A626" s="9" t="s">
        <v>649</v>
      </c>
      <c r="B626">
        <v>29.799999237060547</v>
      </c>
    </row>
    <row r="627" spans="1:2" x14ac:dyDescent="0.25">
      <c r="A627" s="9" t="s">
        <v>650</v>
      </c>
      <c r="B627">
        <v>30</v>
      </c>
    </row>
    <row r="628" spans="1:2" x14ac:dyDescent="0.25">
      <c r="A628" s="9" t="s">
        <v>651</v>
      </c>
      <c r="B628">
        <v>30.399999618530273</v>
      </c>
    </row>
    <row r="629" spans="1:2" x14ac:dyDescent="0.25">
      <c r="A629" s="9" t="s">
        <v>652</v>
      </c>
      <c r="B629">
        <v>30.399999618530273</v>
      </c>
    </row>
    <row r="630" spans="1:2" x14ac:dyDescent="0.25">
      <c r="A630" s="9" t="s">
        <v>653</v>
      </c>
      <c r="B630">
        <v>30</v>
      </c>
    </row>
    <row r="631" spans="1:2" x14ac:dyDescent="0.25">
      <c r="A631" s="9" t="s">
        <v>654</v>
      </c>
      <c r="B631">
        <v>29.799999237060547</v>
      </c>
    </row>
    <row r="632" spans="1:2" x14ac:dyDescent="0.25">
      <c r="A632" s="9" t="s">
        <v>655</v>
      </c>
      <c r="B632">
        <v>30</v>
      </c>
    </row>
    <row r="633" spans="1:2" x14ac:dyDescent="0.25">
      <c r="A633" s="9" t="s">
        <v>656</v>
      </c>
      <c r="B633">
        <v>30.200000762939453</v>
      </c>
    </row>
    <row r="634" spans="1:2" x14ac:dyDescent="0.25">
      <c r="A634" s="9" t="s">
        <v>657</v>
      </c>
      <c r="B634">
        <v>30.200000762939453</v>
      </c>
    </row>
    <row r="635" spans="1:2" x14ac:dyDescent="0.25">
      <c r="A635" s="9" t="s">
        <v>658</v>
      </c>
      <c r="B635">
        <v>30</v>
      </c>
    </row>
    <row r="636" spans="1:2" x14ac:dyDescent="0.25">
      <c r="A636" s="9" t="s">
        <v>659</v>
      </c>
      <c r="B636">
        <v>29.799999237060547</v>
      </c>
    </row>
    <row r="637" spans="1:2" x14ac:dyDescent="0.25">
      <c r="A637" s="9" t="s">
        <v>660</v>
      </c>
      <c r="B637">
        <v>30.200000762939453</v>
      </c>
    </row>
    <row r="638" spans="1:2" x14ac:dyDescent="0.25">
      <c r="A638" s="9" t="s">
        <v>661</v>
      </c>
      <c r="B638">
        <v>30.399999618530273</v>
      </c>
    </row>
    <row r="639" spans="1:2" x14ac:dyDescent="0.25">
      <c r="A639" s="9" t="s">
        <v>662</v>
      </c>
      <c r="B639">
        <v>30.399999618530273</v>
      </c>
    </row>
    <row r="640" spans="1:2" x14ac:dyDescent="0.25">
      <c r="A640" s="9" t="s">
        <v>663</v>
      </c>
      <c r="B640">
        <v>30.200000762939453</v>
      </c>
    </row>
    <row r="641" spans="1:2" x14ac:dyDescent="0.25">
      <c r="A641" s="9" t="s">
        <v>664</v>
      </c>
      <c r="B641">
        <v>30</v>
      </c>
    </row>
    <row r="642" spans="1:2" x14ac:dyDescent="0.25">
      <c r="A642" s="9" t="s">
        <v>665</v>
      </c>
      <c r="B642">
        <v>29.799999237060547</v>
      </c>
    </row>
    <row r="643" spans="1:2" x14ac:dyDescent="0.25">
      <c r="A643" s="9" t="s">
        <v>666</v>
      </c>
      <c r="B643">
        <v>30</v>
      </c>
    </row>
    <row r="644" spans="1:2" x14ac:dyDescent="0.25">
      <c r="A644" s="9" t="s">
        <v>667</v>
      </c>
      <c r="B644">
        <v>30.399999618530273</v>
      </c>
    </row>
    <row r="645" spans="1:2" x14ac:dyDescent="0.25">
      <c r="A645" s="9" t="s">
        <v>668</v>
      </c>
      <c r="B645">
        <v>30.399999618530273</v>
      </c>
    </row>
    <row r="646" spans="1:2" x14ac:dyDescent="0.25">
      <c r="A646" s="9" t="s">
        <v>669</v>
      </c>
      <c r="B646">
        <v>30.399999618530273</v>
      </c>
    </row>
    <row r="647" spans="1:2" x14ac:dyDescent="0.25">
      <c r="A647" s="9" t="s">
        <v>670</v>
      </c>
      <c r="B647">
        <v>30</v>
      </c>
    </row>
    <row r="648" spans="1:2" x14ac:dyDescent="0.25">
      <c r="A648" s="9" t="s">
        <v>671</v>
      </c>
      <c r="B648">
        <v>29.799999237060547</v>
      </c>
    </row>
    <row r="649" spans="1:2" x14ac:dyDescent="0.25">
      <c r="A649" s="9" t="s">
        <v>672</v>
      </c>
      <c r="B649">
        <v>30</v>
      </c>
    </row>
    <row r="650" spans="1:2" x14ac:dyDescent="0.25">
      <c r="A650" s="9" t="s">
        <v>673</v>
      </c>
      <c r="B650">
        <v>30.200000762939453</v>
      </c>
    </row>
    <row r="651" spans="1:2" x14ac:dyDescent="0.25">
      <c r="A651" s="9" t="s">
        <v>674</v>
      </c>
      <c r="B651">
        <v>30.399999618530273</v>
      </c>
    </row>
    <row r="652" spans="1:2" x14ac:dyDescent="0.25">
      <c r="A652" s="9" t="s">
        <v>675</v>
      </c>
      <c r="B652">
        <v>30.200000762939453</v>
      </c>
    </row>
    <row r="653" spans="1:2" x14ac:dyDescent="0.25">
      <c r="A653" s="9" t="s">
        <v>676</v>
      </c>
      <c r="B653">
        <v>30</v>
      </c>
    </row>
    <row r="654" spans="1:2" x14ac:dyDescent="0.25">
      <c r="A654" s="9" t="s">
        <v>677</v>
      </c>
      <c r="B654">
        <v>29.799999237060547</v>
      </c>
    </row>
    <row r="655" spans="1:2" x14ac:dyDescent="0.25">
      <c r="A655" s="9" t="s">
        <v>678</v>
      </c>
      <c r="B655">
        <v>30</v>
      </c>
    </row>
    <row r="656" spans="1:2" x14ac:dyDescent="0.25">
      <c r="A656" s="9" t="s">
        <v>679</v>
      </c>
      <c r="B656">
        <v>30.399999618530273</v>
      </c>
    </row>
    <row r="657" spans="1:2" x14ac:dyDescent="0.25">
      <c r="A657" s="9" t="s">
        <v>680</v>
      </c>
      <c r="B657">
        <v>30.399999618530273</v>
      </c>
    </row>
    <row r="658" spans="1:2" x14ac:dyDescent="0.25">
      <c r="A658" s="9" t="s">
        <v>681</v>
      </c>
      <c r="B658">
        <v>30.200000762939453</v>
      </c>
    </row>
    <row r="659" spans="1:2" x14ac:dyDescent="0.25">
      <c r="A659" s="9" t="s">
        <v>682</v>
      </c>
      <c r="B659">
        <v>30</v>
      </c>
    </row>
    <row r="660" spans="1:2" x14ac:dyDescent="0.25">
      <c r="A660" s="9" t="s">
        <v>683</v>
      </c>
      <c r="B660">
        <v>29.799999237060547</v>
      </c>
    </row>
    <row r="661" spans="1:2" x14ac:dyDescent="0.25">
      <c r="A661" s="9" t="s">
        <v>684</v>
      </c>
      <c r="B661">
        <v>30</v>
      </c>
    </row>
    <row r="662" spans="1:2" x14ac:dyDescent="0.25">
      <c r="A662" s="9" t="s">
        <v>685</v>
      </c>
      <c r="B662">
        <v>30.399999618530273</v>
      </c>
    </row>
    <row r="663" spans="1:2" x14ac:dyDescent="0.25">
      <c r="A663" s="9" t="s">
        <v>686</v>
      </c>
      <c r="B663">
        <v>30.399999618530273</v>
      </c>
    </row>
    <row r="664" spans="1:2" x14ac:dyDescent="0.25">
      <c r="A664" s="9" t="s">
        <v>687</v>
      </c>
      <c r="B664">
        <v>30.200000762939453</v>
      </c>
    </row>
    <row r="665" spans="1:2" x14ac:dyDescent="0.25">
      <c r="A665" s="9" t="s">
        <v>688</v>
      </c>
      <c r="B665">
        <v>30</v>
      </c>
    </row>
    <row r="666" spans="1:2" x14ac:dyDescent="0.25">
      <c r="A666" s="9" t="s">
        <v>689</v>
      </c>
      <c r="B666">
        <v>29.799999237060547</v>
      </c>
    </row>
    <row r="667" spans="1:2" x14ac:dyDescent="0.25">
      <c r="A667" s="9" t="s">
        <v>690</v>
      </c>
      <c r="B667">
        <v>30</v>
      </c>
    </row>
    <row r="668" spans="1:2" x14ac:dyDescent="0.25">
      <c r="A668" s="9" t="s">
        <v>691</v>
      </c>
      <c r="B668">
        <v>30.399999618530273</v>
      </c>
    </row>
    <row r="669" spans="1:2" x14ac:dyDescent="0.25">
      <c r="A669" s="9" t="s">
        <v>692</v>
      </c>
      <c r="B669">
        <v>30.399999618530273</v>
      </c>
    </row>
    <row r="670" spans="1:2" x14ac:dyDescent="0.25">
      <c r="A670" s="9" t="s">
        <v>693</v>
      </c>
      <c r="B670">
        <v>30.200000762939453</v>
      </c>
    </row>
    <row r="671" spans="1:2" x14ac:dyDescent="0.25">
      <c r="A671" s="9" t="s">
        <v>694</v>
      </c>
      <c r="B671">
        <v>30</v>
      </c>
    </row>
    <row r="672" spans="1:2" x14ac:dyDescent="0.25">
      <c r="A672" s="9" t="s">
        <v>695</v>
      </c>
      <c r="B672">
        <v>29.799999237060547</v>
      </c>
    </row>
    <row r="673" spans="1:2" x14ac:dyDescent="0.25">
      <c r="A673" s="9" t="s">
        <v>696</v>
      </c>
      <c r="B673">
        <v>30</v>
      </c>
    </row>
    <row r="674" spans="1:2" x14ac:dyDescent="0.25">
      <c r="A674" s="9" t="s">
        <v>697</v>
      </c>
      <c r="B674">
        <v>30.399999618530273</v>
      </c>
    </row>
    <row r="675" spans="1:2" x14ac:dyDescent="0.25">
      <c r="A675" s="9" t="s">
        <v>698</v>
      </c>
      <c r="B675">
        <v>30.399999618530273</v>
      </c>
    </row>
    <row r="676" spans="1:2" x14ac:dyDescent="0.25">
      <c r="A676" s="9" t="s">
        <v>699</v>
      </c>
      <c r="B676">
        <v>30.200000762939453</v>
      </c>
    </row>
    <row r="677" spans="1:2" x14ac:dyDescent="0.25">
      <c r="A677" s="9" t="s">
        <v>700</v>
      </c>
      <c r="B677">
        <v>29.799999237060547</v>
      </c>
    </row>
    <row r="678" spans="1:2" x14ac:dyDescent="0.25">
      <c r="A678" s="9" t="s">
        <v>701</v>
      </c>
      <c r="B678">
        <v>29.799999237060547</v>
      </c>
    </row>
    <row r="679" spans="1:2" x14ac:dyDescent="0.25">
      <c r="A679" s="9" t="s">
        <v>702</v>
      </c>
      <c r="B679">
        <v>30.200000762939453</v>
      </c>
    </row>
    <row r="680" spans="1:2" x14ac:dyDescent="0.25">
      <c r="A680" s="9" t="s">
        <v>703</v>
      </c>
      <c r="B680">
        <v>30.399999618530273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DataTable</vt:lpstr>
      <vt:lpstr>EN1606 (30°C)</vt:lpstr>
      <vt:lpstr>EN1605 (36°C)</vt:lpstr>
      <vt:lpstr>EN1604 (37°C)</vt:lpstr>
      <vt:lpstr>EN1571 (25°C)</vt:lpstr>
      <vt:lpstr>EN1570 (30°C)</vt:lpstr>
      <vt:lpstr>EN1569 (35°C)</vt:lpstr>
      <vt:lpstr>EN1568 (37°C)</vt:lpstr>
      <vt:lpstr>reportDate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Gabriel</dc:creator>
  <cp:lastModifiedBy>Ray Gabriel</cp:lastModifiedBy>
  <dcterms:created xsi:type="dcterms:W3CDTF">2006-09-16T00:00:00Z</dcterms:created>
  <dcterms:modified xsi:type="dcterms:W3CDTF">2022-05-06T03:01:45Z</dcterms:modified>
</cp:coreProperties>
</file>